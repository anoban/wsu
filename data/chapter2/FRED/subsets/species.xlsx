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chapter2/FRED/subsets/"/>
    </mc:Choice>
  </mc:AlternateContent>
  <xr:revisionPtr revIDLastSave="98" documentId="8_{81FDA0CF-33C4-43D2-B8CA-CC5F96143B4B}" xr6:coauthVersionLast="47" xr6:coauthVersionMax="47" xr10:uidLastSave="{FBB47865-C4A1-4B1D-9717-9EBE102D4E00}"/>
  <bookViews>
    <workbookView xWindow="-110" yWindow="-110" windowWidth="19420" windowHeight="10420" xr2:uid="{A5444074-DC77-415C-A9E2-2BBA8270EAFC}"/>
  </bookViews>
  <sheets>
    <sheet name="FRED4" sheetId="2" r:id="rId1"/>
    <sheet name="Maherali 2016" sheetId="4" r:id="rId2"/>
    <sheet name="Sheet1" sheetId="7" r:id="rId3"/>
  </sheets>
  <definedNames>
    <definedName name="ExternalData_1" localSheetId="1" hidden="1">'Maherali 2016'!$A$1:$B$63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3" i="2"/>
  <c r="A4" i="2"/>
  <c r="A5" i="2"/>
  <c r="A6" i="2"/>
  <c r="A7" i="2"/>
  <c r="A8" i="2"/>
  <c r="A9" i="2"/>
  <c r="A10" i="2"/>
  <c r="A11" i="2"/>
  <c r="A12" i="2"/>
  <c r="A13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141C0-234A-4388-B4F5-34AF0320D75B}" keepAlive="1" name="Query - FRED4_FungalRoot_genus_level_recommendations" description="Connection to the 'FRED4_FungalRoot_genus_level_recommendations' query in the workbook." type="5" refreshedVersion="0" background="1" saveData="1">
    <dbPr connection="Provider=Microsoft.Mashup.OleDb.1;Data Source=$Workbook$;Location=FRED4_FungalRoot_genus_level_recommendations;Extended Properties=&quot;&quot;" command="SELECT * FROM [FRED4_FungalRoot_genus_level_recommendations]"/>
  </connection>
  <connection id="2" xr16:uid="{B4FA9639-7072-4E51-A8F3-6418A210246E}" keepAlive="1" name="Query - states_Maherali_2016" description="Connection to the 'states_Maherali_2016' query in the workbook." type="5" refreshedVersion="8" background="1" saveData="1">
    <dbPr connection="Provider=Microsoft.Mashup.OleDb.1;Data Source=$Workbook$;Location=states_Maherali_2016;Extended Properties=&quot;&quot;" command="SELECT * FROM [states_Maherali_2016]"/>
  </connection>
</connections>
</file>

<file path=xl/sharedStrings.xml><?xml version="1.0" encoding="utf-8"?>
<sst xmlns="http://schemas.openxmlformats.org/spreadsheetml/2006/main" count="4747" uniqueCount="1401">
  <si>
    <t>F01286</t>
  </si>
  <si>
    <t>F01287</t>
  </si>
  <si>
    <t>F01289</t>
  </si>
  <si>
    <t>F01290</t>
  </si>
  <si>
    <t>F00645</t>
  </si>
  <si>
    <t>Abies</t>
  </si>
  <si>
    <t>alba</t>
  </si>
  <si>
    <t>Pinaceae</t>
  </si>
  <si>
    <t>Pinales</t>
  </si>
  <si>
    <t>EcM</t>
  </si>
  <si>
    <t>nephrolepis</t>
  </si>
  <si>
    <t>Acacia</t>
  </si>
  <si>
    <t>auriculiformis</t>
  </si>
  <si>
    <t>Fabaceae</t>
  </si>
  <si>
    <t>Fabales</t>
  </si>
  <si>
    <t>AM</t>
  </si>
  <si>
    <t>crassicarpa</t>
  </si>
  <si>
    <t>EcMAM</t>
  </si>
  <si>
    <t>mangium</t>
  </si>
  <si>
    <t>Acer</t>
  </si>
  <si>
    <t>barbinerve</t>
  </si>
  <si>
    <t>Sapindaceae</t>
  </si>
  <si>
    <t>Sapindales</t>
  </si>
  <si>
    <t>campbellii</t>
  </si>
  <si>
    <t>campestre</t>
  </si>
  <si>
    <t>caudatum</t>
  </si>
  <si>
    <t>coriaceifolium</t>
  </si>
  <si>
    <t>davidii</t>
  </si>
  <si>
    <t>fabri</t>
  </si>
  <si>
    <t>negundo</t>
  </si>
  <si>
    <t>pictum</t>
  </si>
  <si>
    <t>platanoides</t>
  </si>
  <si>
    <t>pseudoplatanus</t>
  </si>
  <si>
    <t>rubrum</t>
  </si>
  <si>
    <t>saccharum</t>
  </si>
  <si>
    <t>tataricum</t>
  </si>
  <si>
    <t>tegmentosum</t>
  </si>
  <si>
    <t>triflorum</t>
  </si>
  <si>
    <t>truncatum</t>
  </si>
  <si>
    <t>Ackama</t>
  </si>
  <si>
    <t>rosifolia</t>
  </si>
  <si>
    <t>Cunoniaceae</t>
  </si>
  <si>
    <t>Oxalidales</t>
  </si>
  <si>
    <t>Acronychia</t>
  </si>
  <si>
    <t>pedunculata</t>
  </si>
  <si>
    <t>Rutaceae</t>
  </si>
  <si>
    <t>Actaea</t>
  </si>
  <si>
    <t>cimicifuga</t>
  </si>
  <si>
    <t>Ranunculaceae</t>
  </si>
  <si>
    <t>Ranunculales</t>
  </si>
  <si>
    <t>NMAM</t>
  </si>
  <si>
    <t>Actinidia</t>
  </si>
  <si>
    <t>kolomikta</t>
  </si>
  <si>
    <t>Actinidiaceae</t>
  </si>
  <si>
    <t>Ericales</t>
  </si>
  <si>
    <t>Adenocaulon</t>
  </si>
  <si>
    <t>himalaicum</t>
  </si>
  <si>
    <t>Asteraceae</t>
  </si>
  <si>
    <t>Asterales</t>
  </si>
  <si>
    <t>Adiantum</t>
  </si>
  <si>
    <t>pedatum</t>
  </si>
  <si>
    <t>Pteridaceae</t>
  </si>
  <si>
    <t>Polypodiales</t>
  </si>
  <si>
    <t>Adina</t>
  </si>
  <si>
    <t>metcalfii</t>
  </si>
  <si>
    <t>Rubiaceae</t>
  </si>
  <si>
    <t>Gentianales</t>
  </si>
  <si>
    <t>pilulifera</t>
  </si>
  <si>
    <t>Aesculus</t>
  </si>
  <si>
    <t>hippocastanum</t>
  </si>
  <si>
    <t>parviflora</t>
  </si>
  <si>
    <t>Agathis</t>
  </si>
  <si>
    <t>australis</t>
  </si>
  <si>
    <t>Araucariaceae</t>
  </si>
  <si>
    <t>Araucariales</t>
  </si>
  <si>
    <t>kinabaluensis</t>
  </si>
  <si>
    <t>moorei</t>
  </si>
  <si>
    <t>Agouticarpa</t>
  </si>
  <si>
    <t>curviflora</t>
  </si>
  <si>
    <t>Agrimonia</t>
  </si>
  <si>
    <t>pilosa</t>
  </si>
  <si>
    <t>Rosaceae</t>
  </si>
  <si>
    <t>Rosales</t>
  </si>
  <si>
    <t>Aidia</t>
  </si>
  <si>
    <t>oxyodonta</t>
  </si>
  <si>
    <t>Alangium</t>
  </si>
  <si>
    <t>chinense</t>
  </si>
  <si>
    <t>Cornaceae</t>
  </si>
  <si>
    <t>Cornales</t>
  </si>
  <si>
    <t>Alchornea</t>
  </si>
  <si>
    <t>tiliifolia</t>
  </si>
  <si>
    <t>Euphorbiaceae</t>
  </si>
  <si>
    <t>Malpighiales</t>
  </si>
  <si>
    <t>trewioides</t>
  </si>
  <si>
    <t>Alectryon</t>
  </si>
  <si>
    <t>excelsus</t>
  </si>
  <si>
    <t>Alibertia</t>
  </si>
  <si>
    <t>claviflora</t>
  </si>
  <si>
    <t>edulis</t>
  </si>
  <si>
    <t>Allantoma</t>
  </si>
  <si>
    <t>lineata</t>
  </si>
  <si>
    <t>Lecythidaceae</t>
  </si>
  <si>
    <t>Allophylus</t>
  </si>
  <si>
    <t>cobbe</t>
  </si>
  <si>
    <t>Alniphyllum</t>
  </si>
  <si>
    <t>fortunei</t>
  </si>
  <si>
    <t>Styracaceae</t>
  </si>
  <si>
    <t>Alnus</t>
  </si>
  <si>
    <t>glutinosa</t>
  </si>
  <si>
    <t>Betulaceae</t>
  </si>
  <si>
    <t>Fagales</t>
  </si>
  <si>
    <t>Alpinia</t>
  </si>
  <si>
    <t>japonica</t>
  </si>
  <si>
    <t>Zingiberaceae</t>
  </si>
  <si>
    <t>Zingiberales</t>
  </si>
  <si>
    <t>Alseis</t>
  </si>
  <si>
    <t>blackiana</t>
  </si>
  <si>
    <t>Alsophila</t>
  </si>
  <si>
    <t>smithii</t>
  </si>
  <si>
    <t>Cyatheaceae</t>
  </si>
  <si>
    <t>Cyatheales</t>
  </si>
  <si>
    <t>tricolor</t>
  </si>
  <si>
    <t>Alstonia</t>
  </si>
  <si>
    <t>scholaris</t>
  </si>
  <si>
    <t>Apocynaceae</t>
  </si>
  <si>
    <t>Amaioua</t>
  </si>
  <si>
    <t>glomerulata</t>
  </si>
  <si>
    <t>guianensis</t>
  </si>
  <si>
    <t>Anaphalis</t>
  </si>
  <si>
    <t>aureopunctata</t>
  </si>
  <si>
    <t>hancockii</t>
  </si>
  <si>
    <t>Aniba</t>
  </si>
  <si>
    <t>Lauraceae</t>
  </si>
  <si>
    <t>Laurales</t>
  </si>
  <si>
    <t>hostmanniana</t>
  </si>
  <si>
    <t>terminalis</t>
  </si>
  <si>
    <t>Antidesma</t>
  </si>
  <si>
    <t>maclurei</t>
  </si>
  <si>
    <t>Phyllanthaceae</t>
  </si>
  <si>
    <t>Aphanamixis</t>
  </si>
  <si>
    <t>polystachya</t>
  </si>
  <si>
    <t>Meliaceae</t>
  </si>
  <si>
    <t>Aporosa</t>
  </si>
  <si>
    <t>octandra</t>
  </si>
  <si>
    <t>yunnanensis</t>
  </si>
  <si>
    <t>Araucaria</t>
  </si>
  <si>
    <t>luxurians</t>
  </si>
  <si>
    <t>rulei</t>
  </si>
  <si>
    <t>Archidendron</t>
  </si>
  <si>
    <t>clypearia</t>
  </si>
  <si>
    <t>lucidum</t>
  </si>
  <si>
    <t>Ardisia</t>
  </si>
  <si>
    <t>depressa</t>
  </si>
  <si>
    <t>Primulaceae</t>
  </si>
  <si>
    <t>Aristotelia</t>
  </si>
  <si>
    <t>serrata</t>
  </si>
  <si>
    <t>Elaeocarpaceae</t>
  </si>
  <si>
    <t>Artemisia</t>
  </si>
  <si>
    <t>igniaria</t>
  </si>
  <si>
    <t>mongolica</t>
  </si>
  <si>
    <t>Artocarpus</t>
  </si>
  <si>
    <t>styracifolius</t>
  </si>
  <si>
    <t>Moraceae</t>
  </si>
  <si>
    <t>Ascarina</t>
  </si>
  <si>
    <t>lucida</t>
  </si>
  <si>
    <t>Chloranthaceae</t>
  </si>
  <si>
    <t>Chloranthales</t>
  </si>
  <si>
    <t>Asimina</t>
  </si>
  <si>
    <t>triloba</t>
  </si>
  <si>
    <t>Annonaceae</t>
  </si>
  <si>
    <t>Magnoliales</t>
  </si>
  <si>
    <t>Asparagus</t>
  </si>
  <si>
    <t>schoberioides</t>
  </si>
  <si>
    <t>Asparagaceae</t>
  </si>
  <si>
    <t>Asparagales</t>
  </si>
  <si>
    <t>Asplenium</t>
  </si>
  <si>
    <t>bulbiferum</t>
  </si>
  <si>
    <t>Aspleniaceae</t>
  </si>
  <si>
    <t>Astelia</t>
  </si>
  <si>
    <t>fragrans</t>
  </si>
  <si>
    <t>Asteliaceae</t>
  </si>
  <si>
    <t>nervosa</t>
  </si>
  <si>
    <t>Aster</t>
  </si>
  <si>
    <t>scaber</t>
  </si>
  <si>
    <t>tataricus</t>
  </si>
  <si>
    <t>Astilbe</t>
  </si>
  <si>
    <t>rivularis</t>
  </si>
  <si>
    <t>Saxifragaceae</t>
  </si>
  <si>
    <t>Saxifragales</t>
  </si>
  <si>
    <t>rubra</t>
  </si>
  <si>
    <t>Athyrium</t>
  </si>
  <si>
    <t>monomachii</t>
  </si>
  <si>
    <t>Athyriaceae</t>
  </si>
  <si>
    <t>sinense</t>
  </si>
  <si>
    <t>spinulosum</t>
  </si>
  <si>
    <t>Barringtonia</t>
  </si>
  <si>
    <t>racemosa</t>
  </si>
  <si>
    <t>Beilschmiedia</t>
  </si>
  <si>
    <t>tarairi</t>
  </si>
  <si>
    <t>tawa</t>
  </si>
  <si>
    <t>Berberis</t>
  </si>
  <si>
    <t>thunbergii</t>
  </si>
  <si>
    <t>Berberidaceae</t>
  </si>
  <si>
    <t>Betula</t>
  </si>
  <si>
    <t>costata</t>
  </si>
  <si>
    <t>dahurica</t>
  </si>
  <si>
    <t>fruticosa</t>
  </si>
  <si>
    <t>lenta</t>
  </si>
  <si>
    <t>pendula</t>
  </si>
  <si>
    <t>utilis</t>
  </si>
  <si>
    <t>Blastus</t>
  </si>
  <si>
    <t>cochinchinensis</t>
  </si>
  <si>
    <t>Melastomataceae</t>
  </si>
  <si>
    <t>Myrtales</t>
  </si>
  <si>
    <t>pauciflorus</t>
  </si>
  <si>
    <t>Blechnopsis</t>
  </si>
  <si>
    <t>orientalis</t>
  </si>
  <si>
    <t>Blechnaceae</t>
  </si>
  <si>
    <t>fluviatilis</t>
  </si>
  <si>
    <t>lanceolatum</t>
  </si>
  <si>
    <t>Blepharocalyx</t>
  </si>
  <si>
    <t>eggersii</t>
  </si>
  <si>
    <t>Myrtaceae</t>
  </si>
  <si>
    <t>Brosimum</t>
  </si>
  <si>
    <t>lactescens</t>
  </si>
  <si>
    <t>rubescens</t>
  </si>
  <si>
    <t>utile</t>
  </si>
  <si>
    <t>Calamus</t>
  </si>
  <si>
    <t>rhabdocladus</t>
  </si>
  <si>
    <t>Arecaceae</t>
  </si>
  <si>
    <t>Arecales</t>
  </si>
  <si>
    <t>Calliandra</t>
  </si>
  <si>
    <t>houstoniana</t>
  </si>
  <si>
    <t>Callitropsis</t>
  </si>
  <si>
    <t>nootkatensis</t>
  </si>
  <si>
    <t>Cupressaceae</t>
  </si>
  <si>
    <t>Cupressales</t>
  </si>
  <si>
    <t>Calocedrus</t>
  </si>
  <si>
    <t>decurrens</t>
  </si>
  <si>
    <t>Caltha</t>
  </si>
  <si>
    <t>palustris</t>
  </si>
  <si>
    <t>Calycolpus</t>
  </si>
  <si>
    <t>goetheanus</t>
  </si>
  <si>
    <t>Canarium</t>
  </si>
  <si>
    <t>album</t>
  </si>
  <si>
    <t>Burseraceae</t>
  </si>
  <si>
    <t>Carallia</t>
  </si>
  <si>
    <t>brachiata</t>
  </si>
  <si>
    <t>Rhizophoraceae</t>
  </si>
  <si>
    <t>Carapichea</t>
  </si>
  <si>
    <t>pacimonica</t>
  </si>
  <si>
    <t>Carpinus</t>
  </si>
  <si>
    <t>betulus</t>
  </si>
  <si>
    <t>cordata</t>
  </si>
  <si>
    <t>Carpodetus</t>
  </si>
  <si>
    <t>serratus</t>
  </si>
  <si>
    <t>Rousseaceae</t>
  </si>
  <si>
    <t>Carya</t>
  </si>
  <si>
    <t>glabra</t>
  </si>
  <si>
    <t>Juglandaceae</t>
  </si>
  <si>
    <t>ovata</t>
  </si>
  <si>
    <t>Caryota</t>
  </si>
  <si>
    <t>maxima</t>
  </si>
  <si>
    <t>Castanea</t>
  </si>
  <si>
    <t>henryi</t>
  </si>
  <si>
    <t>Fagaceae</t>
  </si>
  <si>
    <t>Castanopsis</t>
  </si>
  <si>
    <t>carlesii</t>
  </si>
  <si>
    <t>echinocarpa</t>
  </si>
  <si>
    <t>eyrei</t>
  </si>
  <si>
    <t>fargesii</t>
  </si>
  <si>
    <t>fissa</t>
  </si>
  <si>
    <t>hystrix</t>
  </si>
  <si>
    <t>wattii</t>
  </si>
  <si>
    <t>Catalpa</t>
  </si>
  <si>
    <t>bignonioides</t>
  </si>
  <si>
    <t>Bignoniaceae</t>
  </si>
  <si>
    <t>Lamiales</t>
  </si>
  <si>
    <t>Catostemma</t>
  </si>
  <si>
    <t>sclerophyllum</t>
  </si>
  <si>
    <t>Malvaceae</t>
  </si>
  <si>
    <t>Malvales</t>
  </si>
  <si>
    <t>Catunaregam</t>
  </si>
  <si>
    <t>spinosa</t>
  </si>
  <si>
    <t>Caulophyllum</t>
  </si>
  <si>
    <t>robustum</t>
  </si>
  <si>
    <t>Cedrus</t>
  </si>
  <si>
    <t>libani</t>
  </si>
  <si>
    <t>Celtis</t>
  </si>
  <si>
    <t>Cannabaceae</t>
  </si>
  <si>
    <t>sinensis</t>
  </si>
  <si>
    <t>Cephalotaxus</t>
  </si>
  <si>
    <t>harringtonii</t>
  </si>
  <si>
    <t>Cephalotaxaceae</t>
  </si>
  <si>
    <t>Cercidiphyllum</t>
  </si>
  <si>
    <t>japonicum</t>
  </si>
  <si>
    <t>Cercidiphyllaceae</t>
  </si>
  <si>
    <t>Cercis</t>
  </si>
  <si>
    <t>canadensis</t>
  </si>
  <si>
    <t>Chamaecyparis</t>
  </si>
  <si>
    <t>obtusa</t>
  </si>
  <si>
    <t>pisifera</t>
  </si>
  <si>
    <t>Chassalia</t>
  </si>
  <si>
    <t>subnuda</t>
  </si>
  <si>
    <t>Chenopodium</t>
  </si>
  <si>
    <t>Amaranthaceae</t>
  </si>
  <si>
    <t>Caryophyllales</t>
  </si>
  <si>
    <t>Chionanthus</t>
  </si>
  <si>
    <t>virginicus</t>
  </si>
  <si>
    <t>Oleaceae</t>
  </si>
  <si>
    <t>Choerospondias</t>
  </si>
  <si>
    <t>axillaris</t>
  </si>
  <si>
    <t>Anacardiaceae</t>
  </si>
  <si>
    <t>Chomelia</t>
  </si>
  <si>
    <t>psilocarpa</t>
  </si>
  <si>
    <t>tenuiflora</t>
  </si>
  <si>
    <t>Chromolucuma</t>
  </si>
  <si>
    <t>rubriflora</t>
  </si>
  <si>
    <t>Sapotaceae</t>
  </si>
  <si>
    <t>Chrysojasminum</t>
  </si>
  <si>
    <t>fruticans</t>
  </si>
  <si>
    <t>Chrysophyllum</t>
  </si>
  <si>
    <t>sanguinolentum</t>
  </si>
  <si>
    <t>Cibotium</t>
  </si>
  <si>
    <t>barometz</t>
  </si>
  <si>
    <t>Cibotiaceae</t>
  </si>
  <si>
    <t>NM</t>
  </si>
  <si>
    <t>Cinnamomum</t>
  </si>
  <si>
    <t>austro-sinensis</t>
  </si>
  <si>
    <t>camphora</t>
  </si>
  <si>
    <t>iners</t>
  </si>
  <si>
    <t>micranthum</t>
  </si>
  <si>
    <t>parthenoxylon</t>
  </si>
  <si>
    <t>Cistus</t>
  </si>
  <si>
    <t>albidus</t>
  </si>
  <si>
    <t>Cistaceae</t>
  </si>
  <si>
    <t>ladanifer</t>
  </si>
  <si>
    <t>monspeliensis</t>
  </si>
  <si>
    <t>salviifolius</t>
  </si>
  <si>
    <t>Clitoria</t>
  </si>
  <si>
    <t>javitensis</t>
  </si>
  <si>
    <t>Coccoloba</t>
  </si>
  <si>
    <t>excelsa</t>
  </si>
  <si>
    <t>Polygonaceae</t>
  </si>
  <si>
    <t>manzinellensis</t>
  </si>
  <si>
    <t>Combretum</t>
  </si>
  <si>
    <t>decandrum</t>
  </si>
  <si>
    <t>Combretaceae</t>
  </si>
  <si>
    <t>Convallaria</t>
  </si>
  <si>
    <t>majalis</t>
  </si>
  <si>
    <t>Coprosma</t>
  </si>
  <si>
    <t>ciliata</t>
  </si>
  <si>
    <t>foetidissima</t>
  </si>
  <si>
    <t>linariifolia</t>
  </si>
  <si>
    <t>rhamnoides</t>
  </si>
  <si>
    <t>Cordiera</t>
  </si>
  <si>
    <t>myrciifolia</t>
  </si>
  <si>
    <t>Coriaria</t>
  </si>
  <si>
    <t>arborea</t>
  </si>
  <si>
    <t>Coriariaceae</t>
  </si>
  <si>
    <t>Cucurbitales</t>
  </si>
  <si>
    <t>Cornus</t>
  </si>
  <si>
    <t>bretschneideri</t>
  </si>
  <si>
    <t>controversa</t>
  </si>
  <si>
    <t>florida</t>
  </si>
  <si>
    <t>kousa</t>
  </si>
  <si>
    <t>officinalis</t>
  </si>
  <si>
    <t>ulotricha</t>
  </si>
  <si>
    <t>Corylus</t>
  </si>
  <si>
    <t>ferox</t>
  </si>
  <si>
    <t>sieboldiana</t>
  </si>
  <si>
    <t>Corynocarpus</t>
  </si>
  <si>
    <t>laevigatus</t>
  </si>
  <si>
    <t>Corynocarpaceae</t>
  </si>
  <si>
    <t>Corythophora</t>
  </si>
  <si>
    <t>alta</t>
  </si>
  <si>
    <t>Cotoneaster</t>
  </si>
  <si>
    <t>acutifolius</t>
  </si>
  <si>
    <t>adpressus</t>
  </si>
  <si>
    <t>multiflorus</t>
  </si>
  <si>
    <t>Couepia</t>
  </si>
  <si>
    <t>magnoliifolia</t>
  </si>
  <si>
    <t>Chrysobalanaceae</t>
  </si>
  <si>
    <t>Crataegus</t>
  </si>
  <si>
    <t>monogyna</t>
  </si>
  <si>
    <t>pinnatifida</t>
  </si>
  <si>
    <t>Cratoxylum</t>
  </si>
  <si>
    <t>cochinchinense</t>
  </si>
  <si>
    <t>Hypericaceae</t>
  </si>
  <si>
    <t>Cryptocarya</t>
  </si>
  <si>
    <t>chinensis</t>
  </si>
  <si>
    <t>concinna</t>
  </si>
  <si>
    <t>Cryptomeria</t>
  </si>
  <si>
    <t>Cunninghamia</t>
  </si>
  <si>
    <t>lanceolata</t>
  </si>
  <si>
    <t>Cyathea</t>
  </si>
  <si>
    <t>Cycas</t>
  </si>
  <si>
    <t>nathorstii</t>
  </si>
  <si>
    <t>Cycadaceae</t>
  </si>
  <si>
    <t>Cycadales</t>
  </si>
  <si>
    <t>panzhihuaensis</t>
  </si>
  <si>
    <t>Cydonia</t>
  </si>
  <si>
    <t>oblonga</t>
  </si>
  <si>
    <t>Dacrycarpus</t>
  </si>
  <si>
    <t>dacrydioides</t>
  </si>
  <si>
    <t>Podocarpaceae</t>
  </si>
  <si>
    <t>imbricatus</t>
  </si>
  <si>
    <t>Dacrydium</t>
  </si>
  <si>
    <t>balansae</t>
  </si>
  <si>
    <t>cupressinum</t>
  </si>
  <si>
    <t>gracile</t>
  </si>
  <si>
    <t>pectinatum</t>
  </si>
  <si>
    <t>Daphniphyllum</t>
  </si>
  <si>
    <t>pentandrum</t>
  </si>
  <si>
    <t>Daphniphyllaceae</t>
  </si>
  <si>
    <t>Decaspermum</t>
  </si>
  <si>
    <t>gracilentum</t>
  </si>
  <si>
    <t>Dendropanax</t>
  </si>
  <si>
    <t>dentigerus</t>
  </si>
  <si>
    <t>Araliaceae</t>
  </si>
  <si>
    <t>Apiales</t>
  </si>
  <si>
    <t>Deutzia</t>
  </si>
  <si>
    <t>glabrata</t>
  </si>
  <si>
    <t>Hydrangeaceae</t>
  </si>
  <si>
    <t>grandiflora</t>
  </si>
  <si>
    <t>Dicksonia</t>
  </si>
  <si>
    <t>squarrosa</t>
  </si>
  <si>
    <t>Dicksoniaceae</t>
  </si>
  <si>
    <t>Dicranopteris</t>
  </si>
  <si>
    <t>pedata</t>
  </si>
  <si>
    <t>Gleicheniaceae</t>
  </si>
  <si>
    <t>Gleicheniales</t>
  </si>
  <si>
    <t>Didymocheton</t>
  </si>
  <si>
    <t>spectabilis</t>
  </si>
  <si>
    <t>Dioon</t>
  </si>
  <si>
    <t>rzedowskii</t>
  </si>
  <si>
    <t>Zamiaceae</t>
  </si>
  <si>
    <t>Dioscorea</t>
  </si>
  <si>
    <t>nipponica</t>
  </si>
  <si>
    <t>Dioscoreaceae</t>
  </si>
  <si>
    <t>Dioscoreales</t>
  </si>
  <si>
    <t>Diospyros</t>
  </si>
  <si>
    <t>strigosa</t>
  </si>
  <si>
    <t>Ebenaceae</t>
  </si>
  <si>
    <t>virginiana</t>
  </si>
  <si>
    <t>Diplospora</t>
  </si>
  <si>
    <t>dubia</t>
  </si>
  <si>
    <t>Dracophyllum</t>
  </si>
  <si>
    <t>longifolium</t>
  </si>
  <si>
    <t>Ericaceae</t>
  </si>
  <si>
    <t>ErM</t>
  </si>
  <si>
    <t>Dryopteris</t>
  </si>
  <si>
    <t>lepidopoda</t>
  </si>
  <si>
    <t>Dryopteridaceae</t>
  </si>
  <si>
    <t>sparsa</t>
  </si>
  <si>
    <t>Elaeocarpus</t>
  </si>
  <si>
    <t>dentatus</t>
  </si>
  <si>
    <t>dubius</t>
  </si>
  <si>
    <t>glabripetalus</t>
  </si>
  <si>
    <t>hookerianus</t>
  </si>
  <si>
    <t>sylvestris</t>
  </si>
  <si>
    <t>Eleutherococcus</t>
  </si>
  <si>
    <t>senticosus</t>
  </si>
  <si>
    <t>Embelia</t>
  </si>
  <si>
    <t>vestita</t>
  </si>
  <si>
    <t>Encephalartos</t>
  </si>
  <si>
    <t>gratus</t>
  </si>
  <si>
    <t>Endlicheria</t>
  </si>
  <si>
    <t>anomala</t>
  </si>
  <si>
    <t>arenosa</t>
  </si>
  <si>
    <t>bracteolata</t>
  </si>
  <si>
    <t>citriodora</t>
  </si>
  <si>
    <t>longicaudata</t>
  </si>
  <si>
    <t>macrophylla</t>
  </si>
  <si>
    <t>Engelhardia</t>
  </si>
  <si>
    <t>roxburghiana</t>
  </si>
  <si>
    <t>Ephedra</t>
  </si>
  <si>
    <t>distachya</t>
  </si>
  <si>
    <t>Ephedraceae</t>
  </si>
  <si>
    <t>Ephedrales</t>
  </si>
  <si>
    <t>Equisetum</t>
  </si>
  <si>
    <t>hyemale</t>
  </si>
  <si>
    <t>Equisetaceae</t>
  </si>
  <si>
    <t>Equisetales</t>
  </si>
  <si>
    <t>Eriobotrya</t>
  </si>
  <si>
    <t>Eschweilera</t>
  </si>
  <si>
    <t>albiflora</t>
  </si>
  <si>
    <t>atropetiolata</t>
  </si>
  <si>
    <t>bracteosa</t>
  </si>
  <si>
    <t>coriacea</t>
  </si>
  <si>
    <t>decolorans</t>
  </si>
  <si>
    <t>pedicellata</t>
  </si>
  <si>
    <t>tenuifolia</t>
  </si>
  <si>
    <t>truncata</t>
  </si>
  <si>
    <t>wachenheimii</t>
  </si>
  <si>
    <t>Eucalyptus</t>
  </si>
  <si>
    <t>urophylla</t>
  </si>
  <si>
    <t>Eugenia</t>
  </si>
  <si>
    <t>biflora</t>
  </si>
  <si>
    <t>lambertiana</t>
  </si>
  <si>
    <t>lisboae</t>
  </si>
  <si>
    <t>patrisii</t>
  </si>
  <si>
    <t>protenta</t>
  </si>
  <si>
    <t>pseudopsidium</t>
  </si>
  <si>
    <t>pusilliflora</t>
  </si>
  <si>
    <t>spruceana</t>
  </si>
  <si>
    <t>Eumachia</t>
  </si>
  <si>
    <t>astrellantha</t>
  </si>
  <si>
    <t>podocephala</t>
  </si>
  <si>
    <t>Euonymus</t>
  </si>
  <si>
    <t>alatus</t>
  </si>
  <si>
    <t>Celastraceae</t>
  </si>
  <si>
    <t>Celastrales</t>
  </si>
  <si>
    <t>verrucosus</t>
  </si>
  <si>
    <t>Eurya</t>
  </si>
  <si>
    <t>Pentaphylacaceae</t>
  </si>
  <si>
    <t>Fagus</t>
  </si>
  <si>
    <t>engleriana</t>
  </si>
  <si>
    <t>grandifolia</t>
  </si>
  <si>
    <t>sylvatica</t>
  </si>
  <si>
    <t>Faramea</t>
  </si>
  <si>
    <t>capillipes</t>
  </si>
  <si>
    <t>platyneura</t>
  </si>
  <si>
    <t>torquata</t>
  </si>
  <si>
    <t>Ferdinandusa</t>
  </si>
  <si>
    <t>hirsuta</t>
  </si>
  <si>
    <t>rudgeoides</t>
  </si>
  <si>
    <t>Ficus</t>
  </si>
  <si>
    <t>carica</t>
  </si>
  <si>
    <t>variolosa</t>
  </si>
  <si>
    <t>Filipendula</t>
  </si>
  <si>
    <t>digitata</t>
  </si>
  <si>
    <t>Fraxinus</t>
  </si>
  <si>
    <t>americana</t>
  </si>
  <si>
    <t>angustifolia</t>
  </si>
  <si>
    <t>excelsior</t>
  </si>
  <si>
    <t>mandshurica</t>
  </si>
  <si>
    <t>Fuchsia</t>
  </si>
  <si>
    <t>excorticata</t>
  </si>
  <si>
    <t>Onagraceae</t>
  </si>
  <si>
    <t>Gahnia</t>
  </si>
  <si>
    <t>procera</t>
  </si>
  <si>
    <t>Cyperaceae</t>
  </si>
  <si>
    <t>Poales</t>
  </si>
  <si>
    <t>xanthocarpa</t>
  </si>
  <si>
    <t>Galium</t>
  </si>
  <si>
    <t>aparine</t>
  </si>
  <si>
    <t>Garcinia</t>
  </si>
  <si>
    <t>cowa</t>
  </si>
  <si>
    <t>Clusiaceae</t>
  </si>
  <si>
    <t>oblongifolia</t>
  </si>
  <si>
    <t>Genista</t>
  </si>
  <si>
    <t>Ginkgo</t>
  </si>
  <si>
    <t>biloba</t>
  </si>
  <si>
    <t>Ginkgoaceae</t>
  </si>
  <si>
    <t>Ginkgoales</t>
  </si>
  <si>
    <t>Gironniera</t>
  </si>
  <si>
    <t>subaequalis</t>
  </si>
  <si>
    <t>Gleditsia</t>
  </si>
  <si>
    <t>triacanthos</t>
  </si>
  <si>
    <t>Gnetum</t>
  </si>
  <si>
    <t>gnemon</t>
  </si>
  <si>
    <t>Gnetaceae</t>
  </si>
  <si>
    <t>Gnetales</t>
  </si>
  <si>
    <t>Goniothalamus</t>
  </si>
  <si>
    <t>griffithii</t>
  </si>
  <si>
    <t>tetraptera</t>
  </si>
  <si>
    <t>Halocarpus</t>
  </si>
  <si>
    <t>biformis</t>
  </si>
  <si>
    <t>kirkii</t>
  </si>
  <si>
    <t>Hamamelis</t>
  </si>
  <si>
    <t>Hamamelidaceae</t>
  </si>
  <si>
    <t>Handroanthus</t>
  </si>
  <si>
    <t>guayacan</t>
  </si>
  <si>
    <t>ochraceus</t>
  </si>
  <si>
    <t>Hedycarya</t>
  </si>
  <si>
    <t>Helicia</t>
  </si>
  <si>
    <t>formosana</t>
  </si>
  <si>
    <t>Proteaceae</t>
  </si>
  <si>
    <t>Proteales</t>
  </si>
  <si>
    <t>Helicostylis</t>
  </si>
  <si>
    <t>scabra</t>
  </si>
  <si>
    <t>Heptapleurum</t>
  </si>
  <si>
    <t>heptaphyllum</t>
  </si>
  <si>
    <t>minutistellatum</t>
  </si>
  <si>
    <t>Hoheria</t>
  </si>
  <si>
    <t>lyallii</t>
  </si>
  <si>
    <t>sexstylosa</t>
  </si>
  <si>
    <t>Hosta</t>
  </si>
  <si>
    <t>ventricosa</t>
  </si>
  <si>
    <t>Hymenopus</t>
  </si>
  <si>
    <t>adolphoduckei</t>
  </si>
  <si>
    <t>caudatus</t>
  </si>
  <si>
    <t>macrophyllus</t>
  </si>
  <si>
    <t>reticulatus</t>
  </si>
  <si>
    <t>sothersiae</t>
  </si>
  <si>
    <t>Ilex</t>
  </si>
  <si>
    <t>opaca</t>
  </si>
  <si>
    <t>Aquifoliaceae</t>
  </si>
  <si>
    <t>Aquifoliales</t>
  </si>
  <si>
    <t>Inga</t>
  </si>
  <si>
    <t>auristellae</t>
  </si>
  <si>
    <t>bicoloriflora</t>
  </si>
  <si>
    <t>brevipes</t>
  </si>
  <si>
    <t>cayennensis</t>
  </si>
  <si>
    <t>cordatoalata</t>
  </si>
  <si>
    <t>gracilifolia</t>
  </si>
  <si>
    <t>huberi</t>
  </si>
  <si>
    <t>lateriflora</t>
  </si>
  <si>
    <t>marginata</t>
  </si>
  <si>
    <t>obidensis</t>
  </si>
  <si>
    <t>paraensis</t>
  </si>
  <si>
    <t>ruiziana</t>
  </si>
  <si>
    <t>splendens</t>
  </si>
  <si>
    <t>stipularis</t>
  </si>
  <si>
    <t>suberosa</t>
  </si>
  <si>
    <t>thibaudiana</t>
  </si>
  <si>
    <t>umbellifera</t>
  </si>
  <si>
    <t>umbratica</t>
  </si>
  <si>
    <t>Iris</t>
  </si>
  <si>
    <t>Iridaceae</t>
  </si>
  <si>
    <t>Itea</t>
  </si>
  <si>
    <t>Iteaceae</t>
  </si>
  <si>
    <t>Ixora</t>
  </si>
  <si>
    <t>intensa</t>
  </si>
  <si>
    <t>panurensis</t>
  </si>
  <si>
    <t>Juglans</t>
  </si>
  <si>
    <t>nigra</t>
  </si>
  <si>
    <t>Juniperus</t>
  </si>
  <si>
    <t>communis</t>
  </si>
  <si>
    <t>sabina</t>
  </si>
  <si>
    <t>Knema</t>
  </si>
  <si>
    <t>erratica</t>
  </si>
  <si>
    <t>Myristicaceae</t>
  </si>
  <si>
    <t>Knightia</t>
  </si>
  <si>
    <t>Koelreuteria</t>
  </si>
  <si>
    <t>paniculata</t>
  </si>
  <si>
    <t>Kubitzkia</t>
  </si>
  <si>
    <t>mezii</t>
  </si>
  <si>
    <t>Kunzea</t>
  </si>
  <si>
    <t>ericoides</t>
  </si>
  <si>
    <t>Kutchubaea</t>
  </si>
  <si>
    <t>oocarpa</t>
  </si>
  <si>
    <t>semisericea</t>
  </si>
  <si>
    <t>sericantha</t>
  </si>
  <si>
    <t>Lamium</t>
  </si>
  <si>
    <t>Lamiaceae</t>
  </si>
  <si>
    <t>Larix</t>
  </si>
  <si>
    <t>decidua</t>
  </si>
  <si>
    <t>gmelinii</t>
  </si>
  <si>
    <t>kaempferi</t>
  </si>
  <si>
    <t>Laurelia</t>
  </si>
  <si>
    <t>novae-zelandiae</t>
  </si>
  <si>
    <t>Atherospermataceae</t>
  </si>
  <si>
    <t>Lavandula</t>
  </si>
  <si>
    <t>multifida</t>
  </si>
  <si>
    <t>Lepidothamnus</t>
  </si>
  <si>
    <t>intermedius</t>
  </si>
  <si>
    <t>Leptecophylla</t>
  </si>
  <si>
    <t>juniperina</t>
  </si>
  <si>
    <t>Leptobalanus</t>
  </si>
  <si>
    <t>granvillei</t>
  </si>
  <si>
    <t>latus</t>
  </si>
  <si>
    <t>longistylus</t>
  </si>
  <si>
    <t>octandrus</t>
  </si>
  <si>
    <t>sprucei</t>
  </si>
  <si>
    <t>Leptospermum</t>
  </si>
  <si>
    <t>scoparium</t>
  </si>
  <si>
    <t>Lespedeza</t>
  </si>
  <si>
    <t>bicolor</t>
  </si>
  <si>
    <t>Licania</t>
  </si>
  <si>
    <t>bracteata</t>
  </si>
  <si>
    <t>gracilipes</t>
  </si>
  <si>
    <t>hypoleuca</t>
  </si>
  <si>
    <t>micrantha</t>
  </si>
  <si>
    <t>niloi</t>
  </si>
  <si>
    <t>rodriguesii</t>
  </si>
  <si>
    <t>Licaria</t>
  </si>
  <si>
    <t>chrysophylla</t>
  </si>
  <si>
    <t>oppositifolia</t>
  </si>
  <si>
    <t>Lindera</t>
  </si>
  <si>
    <t>benzoin</t>
  </si>
  <si>
    <t>obtusiloba</t>
  </si>
  <si>
    <t>Liquidambar</t>
  </si>
  <si>
    <t>Altingiaceae</t>
  </si>
  <si>
    <t>styraciflua</t>
  </si>
  <si>
    <t>Liriodendron</t>
  </si>
  <si>
    <t>Magnoliaceae</t>
  </si>
  <si>
    <t>tulipifera</t>
  </si>
  <si>
    <t>Lithocarpus</t>
  </si>
  <si>
    <t>chiungchungensis</t>
  </si>
  <si>
    <t>cleistocarpus</t>
  </si>
  <si>
    <t>clementianus</t>
  </si>
  <si>
    <t>confertus</t>
  </si>
  <si>
    <t>fenestratus</t>
  </si>
  <si>
    <t>lampadarius</t>
  </si>
  <si>
    <t>rigidus</t>
  </si>
  <si>
    <t>Litsea</t>
  </si>
  <si>
    <t>baviensis</t>
  </si>
  <si>
    <t>cubeba</t>
  </si>
  <si>
    <t>elongata</t>
  </si>
  <si>
    <t>ichangensis</t>
  </si>
  <si>
    <t>verticillata</t>
  </si>
  <si>
    <t>Lomaria</t>
  </si>
  <si>
    <t>discolor</t>
  </si>
  <si>
    <t>Lonicera</t>
  </si>
  <si>
    <t>chrysantha</t>
  </si>
  <si>
    <t>Caprifoliaceae</t>
  </si>
  <si>
    <t>Dipsacales</t>
  </si>
  <si>
    <t>maackii</t>
  </si>
  <si>
    <t>Macaranga</t>
  </si>
  <si>
    <t>sampsonii</t>
  </si>
  <si>
    <t>Machilus</t>
  </si>
  <si>
    <t>breviflora</t>
  </si>
  <si>
    <t>kwangtungensis</t>
  </si>
  <si>
    <t>nanmu</t>
  </si>
  <si>
    <t>oculodracontis</t>
  </si>
  <si>
    <t>robusta</t>
  </si>
  <si>
    <t>shweliensis</t>
  </si>
  <si>
    <t>velutina</t>
  </si>
  <si>
    <t>Macropanax</t>
  </si>
  <si>
    <t>undulatus</t>
  </si>
  <si>
    <t>Madhuca</t>
  </si>
  <si>
    <t>endertii</t>
  </si>
  <si>
    <t>Magnolia</t>
  </si>
  <si>
    <t>acuminata</t>
  </si>
  <si>
    <t>baillonii</t>
  </si>
  <si>
    <t>carsonii</t>
  </si>
  <si>
    <t>cavaleriei</t>
  </si>
  <si>
    <t>champaca</t>
  </si>
  <si>
    <t>championii</t>
  </si>
  <si>
    <t>chapensis</t>
  </si>
  <si>
    <t>dandyi</t>
  </si>
  <si>
    <t>denudata</t>
  </si>
  <si>
    <t>ernestii</t>
  </si>
  <si>
    <t>fulva</t>
  </si>
  <si>
    <t>kobus</t>
  </si>
  <si>
    <t>lotungensis</t>
  </si>
  <si>
    <t>macclurei</t>
  </si>
  <si>
    <t>maudiae</t>
  </si>
  <si>
    <t>odora</t>
  </si>
  <si>
    <t>opipara</t>
  </si>
  <si>
    <t>stellata</t>
  </si>
  <si>
    <t>tripetala</t>
  </si>
  <si>
    <t>yuyuanensis</t>
  </si>
  <si>
    <t>Mallotus</t>
  </si>
  <si>
    <t>paniculatus</t>
  </si>
  <si>
    <t>Malus</t>
  </si>
  <si>
    <t>baccata</t>
  </si>
  <si>
    <t>Manglietia</t>
  </si>
  <si>
    <t>paruicula</t>
  </si>
  <si>
    <t>Manoao</t>
  </si>
  <si>
    <t>colensoi</t>
  </si>
  <si>
    <t>Maquira</t>
  </si>
  <si>
    <t>calophylla</t>
  </si>
  <si>
    <t>sclerophylla</t>
  </si>
  <si>
    <t>Maytenus</t>
  </si>
  <si>
    <t>schippii</t>
  </si>
  <si>
    <t>Melicope</t>
  </si>
  <si>
    <t>pteleifolia</t>
  </si>
  <si>
    <t>Melicytus</t>
  </si>
  <si>
    <t>ramiflorus</t>
  </si>
  <si>
    <t>Violaceae</t>
  </si>
  <si>
    <t>Memecylon</t>
  </si>
  <si>
    <t>nigrescens</t>
  </si>
  <si>
    <t>Metasequoia</t>
  </si>
  <si>
    <t>glyptostroboides</t>
  </si>
  <si>
    <t>Metrosideros</t>
  </si>
  <si>
    <t>diffusa</t>
  </si>
  <si>
    <t>fulgens</t>
  </si>
  <si>
    <t>umbellata</t>
  </si>
  <si>
    <t>Mezilaurus</t>
  </si>
  <si>
    <t>ita-uba</t>
  </si>
  <si>
    <t>Microbiota</t>
  </si>
  <si>
    <t>decussata</t>
  </si>
  <si>
    <t>Microcos</t>
  </si>
  <si>
    <t>Micropholis</t>
  </si>
  <si>
    <t>casiquiarensis</t>
  </si>
  <si>
    <t>cylindrocarpa</t>
  </si>
  <si>
    <t>egensis</t>
  </si>
  <si>
    <t>guyanensis</t>
  </si>
  <si>
    <t>mensalis</t>
  </si>
  <si>
    <t>trunciflora</t>
  </si>
  <si>
    <t>venulosa</t>
  </si>
  <si>
    <t>Microtropis</t>
  </si>
  <si>
    <t>Millettia</t>
  </si>
  <si>
    <t>leptobotrya</t>
  </si>
  <si>
    <t>Myrcia</t>
  </si>
  <si>
    <t>caudata</t>
  </si>
  <si>
    <t>citrifolia</t>
  </si>
  <si>
    <t>crebra</t>
  </si>
  <si>
    <t>cuspidata</t>
  </si>
  <si>
    <t>fenestrata</t>
  </si>
  <si>
    <t>ferruginea</t>
  </si>
  <si>
    <t>grandis</t>
  </si>
  <si>
    <t>integra</t>
  </si>
  <si>
    <t>neospeciosa</t>
  </si>
  <si>
    <t>paivae</t>
  </si>
  <si>
    <t>servata</t>
  </si>
  <si>
    <t>subsericea</t>
  </si>
  <si>
    <t>umbraticola</t>
  </si>
  <si>
    <t>Myrciaria</t>
  </si>
  <si>
    <t>floribunda</t>
  </si>
  <si>
    <t>tenella</t>
  </si>
  <si>
    <t>Myrsine</t>
  </si>
  <si>
    <t>divaricata</t>
  </si>
  <si>
    <t>seguinii</t>
  </si>
  <si>
    <t>Myrtus</t>
  </si>
  <si>
    <t>Nabalus</t>
  </si>
  <si>
    <t>tatarinowii</t>
  </si>
  <si>
    <t>Nageia</t>
  </si>
  <si>
    <t>nagi</t>
  </si>
  <si>
    <t>Naucleopsis</t>
  </si>
  <si>
    <t>caloneura</t>
  </si>
  <si>
    <t>imitans</t>
  </si>
  <si>
    <t>insculptula</t>
  </si>
  <si>
    <t>krukovii</t>
  </si>
  <si>
    <t>ternstroemiiflora</t>
  </si>
  <si>
    <t>Neolitsea</t>
  </si>
  <si>
    <t>cassia</t>
  </si>
  <si>
    <t>phanerophlebia</t>
  </si>
  <si>
    <t>Neomyrtus</t>
  </si>
  <si>
    <t>Neopanax</t>
  </si>
  <si>
    <t>arboreus</t>
  </si>
  <si>
    <t>Nephelium</t>
  </si>
  <si>
    <t>lappaceum</t>
  </si>
  <si>
    <t>Nerium</t>
  </si>
  <si>
    <t>oleander</t>
  </si>
  <si>
    <t>Nestegis</t>
  </si>
  <si>
    <t>Nothofagus</t>
  </si>
  <si>
    <t>fusca</t>
  </si>
  <si>
    <t>Nothofagaceae</t>
  </si>
  <si>
    <t>menziesii</t>
  </si>
  <si>
    <t>obliqua</t>
  </si>
  <si>
    <t>solandri</t>
  </si>
  <si>
    <t>Nyssa</t>
  </si>
  <si>
    <t>Nyssaceae</t>
  </si>
  <si>
    <t>Ocotea</t>
  </si>
  <si>
    <t>aciphylla</t>
  </si>
  <si>
    <t>amazonica</t>
  </si>
  <si>
    <t>argyrophylla</t>
  </si>
  <si>
    <t>aurantiodora</t>
  </si>
  <si>
    <t>boissieriana</t>
  </si>
  <si>
    <t>cujumary</t>
  </si>
  <si>
    <t>lancifolia</t>
  </si>
  <si>
    <t>myriantha</t>
  </si>
  <si>
    <t>olivacea</t>
  </si>
  <si>
    <t>pauciflora</t>
  </si>
  <si>
    <t>percurrens</t>
  </si>
  <si>
    <t>scabrella</t>
  </si>
  <si>
    <t>Olearia</t>
  </si>
  <si>
    <t>avicenniaefolia</t>
  </si>
  <si>
    <t>rani</t>
  </si>
  <si>
    <t>Oreocnide</t>
  </si>
  <si>
    <t>frutescens</t>
  </si>
  <si>
    <t>Urticaceae</t>
  </si>
  <si>
    <t>Orophea</t>
  </si>
  <si>
    <t>creaghii</t>
  </si>
  <si>
    <t>Osmanthus</t>
  </si>
  <si>
    <t>didymopetalus</t>
  </si>
  <si>
    <t>Osmunda</t>
  </si>
  <si>
    <t>Osmundaceae</t>
  </si>
  <si>
    <t>Osmundales</t>
  </si>
  <si>
    <t>Pachira</t>
  </si>
  <si>
    <t>insignis</t>
  </si>
  <si>
    <t>macrocalyx</t>
  </si>
  <si>
    <t>minor</t>
  </si>
  <si>
    <t>Pagamea</t>
  </si>
  <si>
    <t>Palicourea</t>
  </si>
  <si>
    <t>amplectens</t>
  </si>
  <si>
    <t>corymbifera</t>
  </si>
  <si>
    <t>dichotoma</t>
  </si>
  <si>
    <t>hoffmannseggiana</t>
  </si>
  <si>
    <t>spicata</t>
  </si>
  <si>
    <t>virens</t>
  </si>
  <si>
    <t>Parablechnum</t>
  </si>
  <si>
    <t>procerum</t>
  </si>
  <si>
    <t>Parthenocissus</t>
  </si>
  <si>
    <t>quinquefolia</t>
  </si>
  <si>
    <t>Vitaceae</t>
  </si>
  <si>
    <t>Vitales</t>
  </si>
  <si>
    <t>Payena</t>
  </si>
  <si>
    <t>microphylla</t>
  </si>
  <si>
    <t>Pectinopitys</t>
  </si>
  <si>
    <t>Pennantia</t>
  </si>
  <si>
    <t>corymbosa</t>
  </si>
  <si>
    <t>Pennantiaceae</t>
  </si>
  <si>
    <t>Pentaphylax</t>
  </si>
  <si>
    <t>euryoides</t>
  </si>
  <si>
    <t>Phellodendron</t>
  </si>
  <si>
    <t>amurense</t>
  </si>
  <si>
    <t>Phillyrea</t>
  </si>
  <si>
    <t>latifolia</t>
  </si>
  <si>
    <t>Phlomis</t>
  </si>
  <si>
    <t>purpurea</t>
  </si>
  <si>
    <t>Phlomoides</t>
  </si>
  <si>
    <t>umbrosa</t>
  </si>
  <si>
    <t>Phyllocladus</t>
  </si>
  <si>
    <t>hypophyllus</t>
  </si>
  <si>
    <t>trichomanoides</t>
  </si>
  <si>
    <t>Picea</t>
  </si>
  <si>
    <t>abies</t>
  </si>
  <si>
    <t>koraiensis</t>
  </si>
  <si>
    <t>meyeri</t>
  </si>
  <si>
    <t>wilsonii</t>
  </si>
  <si>
    <t>Pinus</t>
  </si>
  <si>
    <t>armandii</t>
  </si>
  <si>
    <t>elliottii</t>
  </si>
  <si>
    <t>massoniana</t>
  </si>
  <si>
    <t>pumila</t>
  </si>
  <si>
    <t>pungens</t>
  </si>
  <si>
    <t>resinosa</t>
  </si>
  <si>
    <t>strobus</t>
  </si>
  <si>
    <t>tabuliformis</t>
  </si>
  <si>
    <t>Pistacia</t>
  </si>
  <si>
    <t>lentiscus</t>
  </si>
  <si>
    <t>terebinthus</t>
  </si>
  <si>
    <t>Pittosporum</t>
  </si>
  <si>
    <t>eugenioides</t>
  </si>
  <si>
    <t>Pittosporaceae</t>
  </si>
  <si>
    <t>tenuifolium</t>
  </si>
  <si>
    <t>Plagianthus</t>
  </si>
  <si>
    <t>regius</t>
  </si>
  <si>
    <t>Platanus</t>
  </si>
  <si>
    <t>occidentalis</t>
  </si>
  <si>
    <t>Platanaceae</t>
  </si>
  <si>
    <t>Platycladus</t>
  </si>
  <si>
    <t>Platypodium</t>
  </si>
  <si>
    <t>elegans</t>
  </si>
  <si>
    <t>Podocarpus</t>
  </si>
  <si>
    <t>gibbsii</t>
  </si>
  <si>
    <t>laetus</t>
  </si>
  <si>
    <t>neriifolius</t>
  </si>
  <si>
    <t>totara</t>
  </si>
  <si>
    <t>Polyspora</t>
  </si>
  <si>
    <t>Theaceae</t>
  </si>
  <si>
    <t>Polystichum</t>
  </si>
  <si>
    <t>chilense</t>
  </si>
  <si>
    <t>Populus</t>
  </si>
  <si>
    <t>Salicaceae</t>
  </si>
  <si>
    <t>cathayana</t>
  </si>
  <si>
    <t>deltoides</t>
  </si>
  <si>
    <t>grandidentata</t>
  </si>
  <si>
    <t>suaveolens</t>
  </si>
  <si>
    <t>Potentilla</t>
  </si>
  <si>
    <t>indica</t>
  </si>
  <si>
    <t>Pouteria</t>
  </si>
  <si>
    <t>caimito</t>
  </si>
  <si>
    <t>Prasoxylon</t>
  </si>
  <si>
    <t>excelsum</t>
  </si>
  <si>
    <t>Prionostemma</t>
  </si>
  <si>
    <t>aspera</t>
  </si>
  <si>
    <t>Protium</t>
  </si>
  <si>
    <t>altsonii</t>
  </si>
  <si>
    <t>amazonicum</t>
  </si>
  <si>
    <t>apiculatum</t>
  </si>
  <si>
    <t>aracouchini</t>
  </si>
  <si>
    <t>calanense</t>
  </si>
  <si>
    <t>calendulinum</t>
  </si>
  <si>
    <t>crassipetalum</t>
  </si>
  <si>
    <t>divaricatum</t>
  </si>
  <si>
    <t>ferrugineum</t>
  </si>
  <si>
    <t>gallosum</t>
  </si>
  <si>
    <t>grandifolium</t>
  </si>
  <si>
    <t>hebetatum</t>
  </si>
  <si>
    <t>laxiflorum</t>
  </si>
  <si>
    <t>occultum</t>
  </si>
  <si>
    <t>opacum</t>
  </si>
  <si>
    <t>paniculatum</t>
  </si>
  <si>
    <t>pilosissimum</t>
  </si>
  <si>
    <t>pilosum</t>
  </si>
  <si>
    <t>spruceanum</t>
  </si>
  <si>
    <t>strumosum</t>
  </si>
  <si>
    <t>subserratum</t>
  </si>
  <si>
    <t>trifoliolatum</t>
  </si>
  <si>
    <t>unifoliolatum</t>
  </si>
  <si>
    <t>urophyllidium</t>
  </si>
  <si>
    <t>Prumnopitys</t>
  </si>
  <si>
    <t>taxifolia</t>
  </si>
  <si>
    <t>Prunus</t>
  </si>
  <si>
    <t>armeniaca</t>
  </si>
  <si>
    <t>avium</t>
  </si>
  <si>
    <t>padus</t>
  </si>
  <si>
    <t>sargentii</t>
  </si>
  <si>
    <t>serotina</t>
  </si>
  <si>
    <t>Pseudodiphasium</t>
  </si>
  <si>
    <t>volubile</t>
  </si>
  <si>
    <t>Lycopodiaceae</t>
  </si>
  <si>
    <t>Lycopodiales</t>
  </si>
  <si>
    <t>Pseudolmedia</t>
  </si>
  <si>
    <t>laevigata</t>
  </si>
  <si>
    <t>laevis</t>
  </si>
  <si>
    <t>Pseudopanax</t>
  </si>
  <si>
    <t>crassifolius</t>
  </si>
  <si>
    <t>Pseudotsuga</t>
  </si>
  <si>
    <t>Pseudowintera</t>
  </si>
  <si>
    <t>colorata</t>
  </si>
  <si>
    <t>Winteraceae</t>
  </si>
  <si>
    <t>Canellales</t>
  </si>
  <si>
    <t>Psychotria</t>
  </si>
  <si>
    <t>asiatica</t>
  </si>
  <si>
    <t>rhombibractea</t>
  </si>
  <si>
    <t>Pteridium</t>
  </si>
  <si>
    <t>aquilinum</t>
  </si>
  <si>
    <t>Dennstaedtiaceae</t>
  </si>
  <si>
    <t>Pterophylla</t>
  </si>
  <si>
    <t>faxinea</t>
  </si>
  <si>
    <t>Pterospermum</t>
  </si>
  <si>
    <t>acerifolium</t>
  </si>
  <si>
    <t>Pyrus</t>
  </si>
  <si>
    <t>betulifolia</t>
  </si>
  <si>
    <t>bourgaeana</t>
  </si>
  <si>
    <t>Quercus</t>
  </si>
  <si>
    <t>aliena</t>
  </si>
  <si>
    <t>asymmetrica</t>
  </si>
  <si>
    <t>coccifera</t>
  </si>
  <si>
    <t>faginea</t>
  </si>
  <si>
    <t>ilex</t>
  </si>
  <si>
    <t>lowii</t>
  </si>
  <si>
    <t>multinervis</t>
  </si>
  <si>
    <t>oxyodon</t>
  </si>
  <si>
    <t>robur</t>
  </si>
  <si>
    <t>variabilis</t>
  </si>
  <si>
    <t>wutaishanica</t>
  </si>
  <si>
    <t>Quintinia</t>
  </si>
  <si>
    <t>Paracryphiaceae</t>
  </si>
  <si>
    <t>Paracryphiales</t>
  </si>
  <si>
    <t>Raukaua</t>
  </si>
  <si>
    <t>simplex</t>
  </si>
  <si>
    <t>Rhamnus</t>
  </si>
  <si>
    <t>davurica</t>
  </si>
  <si>
    <t>Rhamnaceae</t>
  </si>
  <si>
    <t>lycioides</t>
  </si>
  <si>
    <t>Rhaphiolepis</t>
  </si>
  <si>
    <t>Rhododendron</t>
  </si>
  <si>
    <t>hypoglaucum</t>
  </si>
  <si>
    <t>Rhodoleia</t>
  </si>
  <si>
    <t>Rhodostemonodaphne</t>
  </si>
  <si>
    <t>crenaticupula</t>
  </si>
  <si>
    <t>parvifolia</t>
  </si>
  <si>
    <t>Rhopalostylis</t>
  </si>
  <si>
    <t>sapida</t>
  </si>
  <si>
    <t>Rhus</t>
  </si>
  <si>
    <t>typhina</t>
  </si>
  <si>
    <t>Rosa</t>
  </si>
  <si>
    <t>acicularis</t>
  </si>
  <si>
    <t>canina</t>
  </si>
  <si>
    <t>xanthina</t>
  </si>
  <si>
    <t>Rubus</t>
  </si>
  <si>
    <t>allegheniensis</t>
  </si>
  <si>
    <t>crataegifolius</t>
  </si>
  <si>
    <t>idaeus</t>
  </si>
  <si>
    <t>irritans</t>
  </si>
  <si>
    <t>phoenicolasius</t>
  </si>
  <si>
    <t>rosifolius</t>
  </si>
  <si>
    <t>ulmifolius</t>
  </si>
  <si>
    <t>Rudgea</t>
  </si>
  <si>
    <t>cornifolia</t>
  </si>
  <si>
    <t>lanceifolia</t>
  </si>
  <si>
    <t>Salix</t>
  </si>
  <si>
    <t>atrocinerea</t>
  </si>
  <si>
    <t>caprea</t>
  </si>
  <si>
    <t>viminalis</t>
  </si>
  <si>
    <t>Salvia</t>
  </si>
  <si>
    <t>rosmarinus</t>
  </si>
  <si>
    <t>Sambucus</t>
  </si>
  <si>
    <t>williamsii</t>
  </si>
  <si>
    <t>Viburnaceae</t>
  </si>
  <si>
    <t>Sanguisorba</t>
  </si>
  <si>
    <t>Sanicula</t>
  </si>
  <si>
    <t>orthacantha</t>
  </si>
  <si>
    <t>Apiaceae</t>
  </si>
  <si>
    <t>Saprosma</t>
  </si>
  <si>
    <t>ternatum</t>
  </si>
  <si>
    <t>Sassafras</t>
  </si>
  <si>
    <t>albidum</t>
  </si>
  <si>
    <t>Saussurea</t>
  </si>
  <si>
    <t>amurensis</t>
  </si>
  <si>
    <t>nivea</t>
  </si>
  <si>
    <t>Schefflera</t>
  </si>
  <si>
    <t>digita</t>
  </si>
  <si>
    <t>Schima</t>
  </si>
  <si>
    <t>superba</t>
  </si>
  <si>
    <t>wallichii</t>
  </si>
  <si>
    <t>Schoepfia</t>
  </si>
  <si>
    <t>jasminodora</t>
  </si>
  <si>
    <t>Schoepfiaceae</t>
  </si>
  <si>
    <t>Santalales</t>
  </si>
  <si>
    <t>Sciadopitys</t>
  </si>
  <si>
    <t>Sciadopityaceae</t>
  </si>
  <si>
    <t>Scleronema</t>
  </si>
  <si>
    <t>Sequoiadendron</t>
  </si>
  <si>
    <t>giganteum</t>
  </si>
  <si>
    <t>Simira</t>
  </si>
  <si>
    <t>Smilax</t>
  </si>
  <si>
    <t>Smilacaceae</t>
  </si>
  <si>
    <t>Liliales</t>
  </si>
  <si>
    <t>trinervula</t>
  </si>
  <si>
    <t>Solidago</t>
  </si>
  <si>
    <t>Sophora</t>
  </si>
  <si>
    <t>Sorbus</t>
  </si>
  <si>
    <t>aucuparia</t>
  </si>
  <si>
    <t>Sorocea</t>
  </si>
  <si>
    <t>guilleminiana</t>
  </si>
  <si>
    <t>muriculata</t>
  </si>
  <si>
    <t>pubivena</t>
  </si>
  <si>
    <t>Sphaeropteris</t>
  </si>
  <si>
    <t>medullaris</t>
  </si>
  <si>
    <t>Spiraea</t>
  </si>
  <si>
    <t>ouensanensis</t>
  </si>
  <si>
    <t>Stachyarrhena</t>
  </si>
  <si>
    <t>Sterculia</t>
  </si>
  <si>
    <t>monosperma</t>
  </si>
  <si>
    <t>Sticherus</t>
  </si>
  <si>
    <t>cunninghamii</t>
  </si>
  <si>
    <t>Strobilanthes</t>
  </si>
  <si>
    <t>dimorphotricha</t>
  </si>
  <si>
    <t>Acanthaceae</t>
  </si>
  <si>
    <t>Styphnolobium</t>
  </si>
  <si>
    <t>Styrax</t>
  </si>
  <si>
    <t>suberifolius</t>
  </si>
  <si>
    <t>Syringa</t>
  </si>
  <si>
    <t>reticulata</t>
  </si>
  <si>
    <t>Syzygium</t>
  </si>
  <si>
    <t>acuminatissimum</t>
  </si>
  <si>
    <t>borbonicum</t>
  </si>
  <si>
    <t>castaneum</t>
  </si>
  <si>
    <t>globiflorum</t>
  </si>
  <si>
    <t>hancei</t>
  </si>
  <si>
    <t>jambos</t>
  </si>
  <si>
    <t>kunstleri</t>
  </si>
  <si>
    <t>levinei</t>
  </si>
  <si>
    <t>maire</t>
  </si>
  <si>
    <t>napiforme</t>
  </si>
  <si>
    <t>pachysepalum</t>
  </si>
  <si>
    <t>subdecussatum</t>
  </si>
  <si>
    <t>Tanaecium</t>
  </si>
  <si>
    <t>pyramidatum</t>
  </si>
  <si>
    <t>Taxodium</t>
  </si>
  <si>
    <t>distichum</t>
  </si>
  <si>
    <t>Taxus</t>
  </si>
  <si>
    <t>Taxaceae</t>
  </si>
  <si>
    <t>Terminalia</t>
  </si>
  <si>
    <t>amazonia</t>
  </si>
  <si>
    <t>Ternstroemia</t>
  </si>
  <si>
    <t>Tetractomia</t>
  </si>
  <si>
    <t>tetrandra</t>
  </si>
  <si>
    <t>Tetrapilus</t>
  </si>
  <si>
    <t>roseus</t>
  </si>
  <si>
    <t>Teucrium</t>
  </si>
  <si>
    <t>Thalictrum</t>
  </si>
  <si>
    <t>Thuja</t>
  </si>
  <si>
    <t>Tilia</t>
  </si>
  <si>
    <t>oliveri</t>
  </si>
  <si>
    <t>Torreya</t>
  </si>
  <si>
    <t>californica</t>
  </si>
  <si>
    <t>nucifera</t>
  </si>
  <si>
    <t>Trachelospermum</t>
  </si>
  <si>
    <t>axillare</t>
  </si>
  <si>
    <t>Trifolium</t>
  </si>
  <si>
    <t>subterraneum</t>
  </si>
  <si>
    <t>Tristaniopsis</t>
  </si>
  <si>
    <t>elliptica</t>
  </si>
  <si>
    <t>obovata</t>
  </si>
  <si>
    <t>Trymatococcus</t>
  </si>
  <si>
    <t>amazonicus</t>
  </si>
  <si>
    <t>Tsuga</t>
  </si>
  <si>
    <t>Ulmus</t>
  </si>
  <si>
    <t>Ulmaceae</t>
  </si>
  <si>
    <t>davidiana</t>
  </si>
  <si>
    <t>macrocarpa</t>
  </si>
  <si>
    <t>Vaccinium</t>
  </si>
  <si>
    <t>corymbosum</t>
  </si>
  <si>
    <t>mandarinorum</t>
  </si>
  <si>
    <t>Veratrum</t>
  </si>
  <si>
    <t>nigrum</t>
  </si>
  <si>
    <t>Melanthiaceae</t>
  </si>
  <si>
    <t>Veronica</t>
  </si>
  <si>
    <t>spuria</t>
  </si>
  <si>
    <t>Plantaginaceae</t>
  </si>
  <si>
    <t>Viburnum</t>
  </si>
  <si>
    <t>dentatum</t>
  </si>
  <si>
    <t>tinus</t>
  </si>
  <si>
    <t>Vitex</t>
  </si>
  <si>
    <t>lucens</t>
  </si>
  <si>
    <t>Vitis</t>
  </si>
  <si>
    <t>vinifera</t>
  </si>
  <si>
    <t>Weinmannia</t>
  </si>
  <si>
    <t>silvicola</t>
  </si>
  <si>
    <t>Wendlandia</t>
  </si>
  <si>
    <t>uvariifolia</t>
  </si>
  <si>
    <t>Wurfbainia</t>
  </si>
  <si>
    <t>villosa</t>
  </si>
  <si>
    <t>Xanthophyllum</t>
  </si>
  <si>
    <t>tenue</t>
  </si>
  <si>
    <t>Polygalaceae</t>
  </si>
  <si>
    <t>Zabelia</t>
  </si>
  <si>
    <t>Zamia</t>
  </si>
  <si>
    <t>lucayana</t>
  </si>
  <si>
    <t>Zygia</t>
  </si>
  <si>
    <t>inaequalis</t>
  </si>
  <si>
    <t>binominal</t>
  </si>
  <si>
    <t>tremula</t>
  </si>
  <si>
    <t>chekiangense</t>
  </si>
  <si>
    <t>Endospermum</t>
  </si>
  <si>
    <t>Austroblechnum</t>
  </si>
  <si>
    <t>Cranfillia</t>
  </si>
  <si>
    <t>Minimiaceae</t>
  </si>
  <si>
    <t>Helesia</t>
  </si>
  <si>
    <t>Arenaria</t>
  </si>
  <si>
    <t>serpyllifolia</t>
  </si>
  <si>
    <t>Caryophyllaceae</t>
  </si>
  <si>
    <t>Brachypodium</t>
  </si>
  <si>
    <t>phoenicoides</t>
  </si>
  <si>
    <t>Poaceae</t>
  </si>
  <si>
    <t>Bromus</t>
  </si>
  <si>
    <t>madritensis</t>
  </si>
  <si>
    <t>erectus</t>
  </si>
  <si>
    <t>Daucus</t>
  </si>
  <si>
    <t>carota</t>
  </si>
  <si>
    <t>Dactylis</t>
  </si>
  <si>
    <t>glomerata</t>
  </si>
  <si>
    <t>Inula</t>
  </si>
  <si>
    <t>conyza</t>
  </si>
  <si>
    <t>Medicago</t>
  </si>
  <si>
    <t>minima</t>
  </si>
  <si>
    <t>Picris</t>
  </si>
  <si>
    <t>hieracioides</t>
  </si>
  <si>
    <t>angustifolium</t>
  </si>
  <si>
    <t>chamaedrys</t>
  </si>
  <si>
    <t>persica</t>
  </si>
  <si>
    <t>Achillea</t>
  </si>
  <si>
    <t>millefolium</t>
  </si>
  <si>
    <t>Elymus</t>
  </si>
  <si>
    <t>repens</t>
  </si>
  <si>
    <t>Poa</t>
  </si>
  <si>
    <t>nemoralis</t>
  </si>
  <si>
    <t>Carex</t>
  </si>
  <si>
    <t>lasiocarpa</t>
  </si>
  <si>
    <t>Crepis</t>
  </si>
  <si>
    <t>tectorum</t>
  </si>
  <si>
    <t>Erigeron</t>
  </si>
  <si>
    <t>Festuca</t>
  </si>
  <si>
    <t>ovina</t>
  </si>
  <si>
    <t>Koeleria</t>
  </si>
  <si>
    <t>pyramidata</t>
  </si>
  <si>
    <t>Melilotus</t>
  </si>
  <si>
    <t>Panicum</t>
  </si>
  <si>
    <t>virgatum</t>
  </si>
  <si>
    <t>Phleum</t>
  </si>
  <si>
    <t>pratense</t>
  </si>
  <si>
    <t>pratensis</t>
  </si>
  <si>
    <t>Fallopia</t>
  </si>
  <si>
    <t>convolvulus</t>
  </si>
  <si>
    <t>Rumex</t>
  </si>
  <si>
    <t>acetosella</t>
  </si>
  <si>
    <t>Verbascum</t>
  </si>
  <si>
    <t>thapsus</t>
  </si>
  <si>
    <t>Scrophulariaceae</t>
  </si>
  <si>
    <t>Agrostis</t>
  </si>
  <si>
    <t>capillaris</t>
  </si>
  <si>
    <t>pinnatum</t>
  </si>
  <si>
    <t>sylvaticum</t>
  </si>
  <si>
    <t>Deschampsia</t>
  </si>
  <si>
    <t>cespitosa</t>
  </si>
  <si>
    <t>Holcus</t>
  </si>
  <si>
    <t>lanatus</t>
  </si>
  <si>
    <t>Lolium</t>
  </si>
  <si>
    <t>arundinaceum</t>
  </si>
  <si>
    <t>perenne</t>
  </si>
  <si>
    <t>humulis</t>
  </si>
  <si>
    <t>Matteuccia</t>
  </si>
  <si>
    <t>struthiopteris</t>
  </si>
  <si>
    <t>Onocleaceae</t>
  </si>
  <si>
    <t>linearis</t>
  </si>
  <si>
    <t>tremuloides</t>
  </si>
  <si>
    <t>flacca</t>
  </si>
  <si>
    <t>Pilosella</t>
  </si>
  <si>
    <t>officinarum</t>
  </si>
  <si>
    <t>Lotus</t>
  </si>
  <si>
    <t>corniculatus</t>
  </si>
  <si>
    <t>Stipa</t>
  </si>
  <si>
    <t>pennata</t>
  </si>
  <si>
    <t>catharticus</t>
  </si>
  <si>
    <t>inermis</t>
  </si>
  <si>
    <t>Cichorium</t>
  </si>
  <si>
    <t>intybus</t>
  </si>
  <si>
    <t>sativa</t>
  </si>
  <si>
    <t>Phalaris</t>
  </si>
  <si>
    <t>arundinacea</t>
  </si>
  <si>
    <t>Plantago</t>
  </si>
  <si>
    <t>Taraxacum</t>
  </si>
  <si>
    <t>campylodes</t>
  </si>
  <si>
    <t>Calluna</t>
  </si>
  <si>
    <t>vulgaris</t>
  </si>
  <si>
    <t>Hedera</t>
  </si>
  <si>
    <t>helix</t>
  </si>
  <si>
    <t>pinea</t>
  </si>
  <si>
    <t>Lygodesmia</t>
  </si>
  <si>
    <t>juncea</t>
  </si>
  <si>
    <t>frigida</t>
  </si>
  <si>
    <t>Symphyotrichum</t>
  </si>
  <si>
    <t>falcatum</t>
  </si>
  <si>
    <t>Campanula</t>
  </si>
  <si>
    <t>rotundifolia</t>
  </si>
  <si>
    <t>Campanulaceae</t>
  </si>
  <si>
    <t>obtusata</t>
  </si>
  <si>
    <t>Cerastium</t>
  </si>
  <si>
    <t>arvense</t>
  </si>
  <si>
    <t>Descurainia</t>
  </si>
  <si>
    <t>sophia</t>
  </si>
  <si>
    <t>Brassicaceae</t>
  </si>
  <si>
    <t>Brassicales</t>
  </si>
  <si>
    <t>Krascheninnikovia</t>
  </si>
  <si>
    <t>ceratoides</t>
  </si>
  <si>
    <t>boreale</t>
  </si>
  <si>
    <t>macrantha</t>
  </si>
  <si>
    <t>Lactuca</t>
  </si>
  <si>
    <t>tatarica</t>
  </si>
  <si>
    <t>Leymus</t>
  </si>
  <si>
    <t>krylovii</t>
  </si>
  <si>
    <t>Agropyron</t>
  </si>
  <si>
    <t>cristatum</t>
  </si>
  <si>
    <t>Cleistogenes</t>
  </si>
  <si>
    <t>acaulis</t>
  </si>
  <si>
    <t>tenacetifolia</t>
  </si>
  <si>
    <t>Sibbaldianthe</t>
  </si>
  <si>
    <t>bifurca</t>
  </si>
  <si>
    <t>ruthenica</t>
  </si>
  <si>
    <t>Allium</t>
  </si>
  <si>
    <t>tenuissimum</t>
  </si>
  <si>
    <t>Amaryllidaceae</t>
  </si>
  <si>
    <t>bidentatum</t>
  </si>
  <si>
    <t>Chamaerhodos</t>
  </si>
  <si>
    <t>erecta</t>
  </si>
  <si>
    <t>Tapirira</t>
  </si>
  <si>
    <t>state</t>
  </si>
  <si>
    <t>Agrostis scabra</t>
  </si>
  <si>
    <t>Ambrosia artemisiifolia</t>
  </si>
  <si>
    <t>Andropogon gerardii</t>
  </si>
  <si>
    <t>Anthyllis cytisoides</t>
  </si>
  <si>
    <t>Arbutus unedo</t>
  </si>
  <si>
    <t>EM</t>
  </si>
  <si>
    <t>Artemisia ludoviciana</t>
  </si>
  <si>
    <t>Asclepias incarnata</t>
  </si>
  <si>
    <t>Asclepias syriaca</t>
  </si>
  <si>
    <t>Asclepias tuberosa</t>
  </si>
  <si>
    <t>Baptisia alba</t>
  </si>
  <si>
    <t>Berteroa incana</t>
  </si>
  <si>
    <t>Bouteloua curtipendula</t>
  </si>
  <si>
    <t>Bouteloua gracilis</t>
  </si>
  <si>
    <t>Carex filifolia</t>
  </si>
  <si>
    <t>Castanopsis indica</t>
  </si>
  <si>
    <t>AMNM</t>
  </si>
  <si>
    <t>Coriaria nepalensis</t>
  </si>
  <si>
    <t>Crepis foetida</t>
  </si>
  <si>
    <t>Croton kongensis</t>
  </si>
  <si>
    <t>Dalea purpurea</t>
  </si>
  <si>
    <t>Draba nemorosa</t>
  </si>
  <si>
    <t>Ekebergia capensis</t>
  </si>
  <si>
    <t>Elaeagnus commutata</t>
  </si>
  <si>
    <t>Ficus citrifolia</t>
  </si>
  <si>
    <t>Fumana thymifolia</t>
  </si>
  <si>
    <t>Garcinia xanthochymus</t>
  </si>
  <si>
    <t>Geranium rotundifolium</t>
  </si>
  <si>
    <t>Gutierrezia sarothrae</t>
  </si>
  <si>
    <t>Helianthemum almeriense</t>
  </si>
  <si>
    <t>Helianthus annuus</t>
  </si>
  <si>
    <t>Helianthus maximiliani</t>
  </si>
  <si>
    <t>Helichrysum italicum</t>
  </si>
  <si>
    <t>Helichrysum stoechas</t>
  </si>
  <si>
    <t>Heliocarpus americanus</t>
  </si>
  <si>
    <t>Ilex verticillata</t>
  </si>
  <si>
    <t>Inga nobilis</t>
  </si>
  <si>
    <t>Iris versicolor</t>
  </si>
  <si>
    <t>Koeleria vallesiana</t>
  </si>
  <si>
    <t>Lepidium densiflorum</t>
  </si>
  <si>
    <t>Lespedeza capitata</t>
  </si>
  <si>
    <t>Liatris aspera</t>
  </si>
  <si>
    <t>Oenothera biennis</t>
  </si>
  <si>
    <t>Olea europaea</t>
  </si>
  <si>
    <t>Panicum capillare</t>
  </si>
  <si>
    <t>Phoebe lanceolata</t>
  </si>
  <si>
    <t>Podophyllum peltatum</t>
  </si>
  <si>
    <t>Pometia pinnata</t>
  </si>
  <si>
    <t>Populus trichocarpa</t>
  </si>
  <si>
    <t>Pycnanthemum virginianum</t>
  </si>
  <si>
    <t>Quercus palustris</t>
  </si>
  <si>
    <t>Quercus suber</t>
  </si>
  <si>
    <t>Schizachyrium scoparium</t>
  </si>
  <si>
    <t>Solidago nemoralis</t>
  </si>
  <si>
    <t>Solidago rigida</t>
  </si>
  <si>
    <t>Sorghastrum nutans</t>
  </si>
  <si>
    <t>Sporobolus heterolepis</t>
  </si>
  <si>
    <t>Symphyotrichum ericoides</t>
  </si>
  <si>
    <t>Theobroma cacao</t>
  </si>
  <si>
    <t>Thymus mastichina</t>
  </si>
  <si>
    <t>Tragopogon dubius</t>
  </si>
  <si>
    <t>Ulex parviflorus</t>
  </si>
  <si>
    <t>Verbena hastata</t>
  </si>
  <si>
    <t>Vicia villosa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</si>
</sst>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A821A2-C94B-4FC7-90E5-1E8F05F04F55}" autoFormatId="16" applyNumberFormats="0" applyBorderFormats="0" applyFontFormats="0" applyPatternFormats="0" applyAlignmentFormats="0" applyWidthHeightFormats="0">
  <queryTableRefresh nextId="3">
    <queryTableFields count="2">
      <queryTableField id="1" name="binominal" tableColumnId="1"/>
      <queryTableField id="2" name="stat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825CB-BB16-49AC-8EB5-EA023C9978CD}" name="states_FRED4" displayName="states_FRED4" ref="B1:F924" totalsRowShown="0">
  <autoFilter ref="B1:F924" xr:uid="{2A6825CB-BB16-49AC-8EB5-EA023C9978CD}"/>
  <tableColumns count="5">
    <tableColumn id="1" xr3:uid="{BAB65D6F-BFCC-431A-8B6C-396E073B4A12}" name="F01286" dataDxfId="7"/>
    <tableColumn id="2" xr3:uid="{58F8A144-B372-4975-AEE8-542D76CB3420}" name="F01287" dataDxfId="6"/>
    <tableColumn id="3" xr3:uid="{CA4C6AD5-DCAC-443B-B1EE-DDD0FBD2975B}" name="F01289" dataDxfId="5"/>
    <tableColumn id="4" xr3:uid="{13C6C843-61CC-4A37-92D4-96E52D5CD6D0}" name="F01290" dataDxfId="4"/>
    <tableColumn id="5" xr3:uid="{5AAE598E-22E5-490E-924C-678422C1ADCC}" name="F0064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55D9A-2731-4841-992D-A3E9B4605879}" name="states_Maherali_2016" displayName="states_Maherali_2016" ref="A1:B63" tableType="queryTable" totalsRowShown="0">
  <autoFilter ref="A1:B63" xr:uid="{97C55D9A-2731-4841-992D-A3E9B4605879}"/>
  <tableColumns count="2">
    <tableColumn id="1" xr3:uid="{0DCB8890-E8E1-45B7-97B4-235DA14C1B4A}" uniqueName="1" name="binominal" queryTableFieldId="1" dataDxfId="2"/>
    <tableColumn id="2" xr3:uid="{D9A5291E-EA46-4A72-91D1-B608FB7AF174}" uniqueName="2" name="state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E148-7B0F-4F38-BF9A-5041676F9C04}">
  <dimension ref="A1:F924"/>
  <sheetViews>
    <sheetView tabSelected="1" workbookViewId="0">
      <selection activeCell="H6" sqref="H6"/>
    </sheetView>
  </sheetViews>
  <sheetFormatPr defaultRowHeight="14.5" x14ac:dyDescent="0.35"/>
  <cols>
    <col min="1" max="1" width="32.453125" customWidth="1"/>
    <col min="2" max="2" width="19.1796875" bestFit="1" customWidth="1"/>
    <col min="3" max="3" width="15.7265625" bestFit="1" customWidth="1"/>
    <col min="4" max="4" width="18.08984375" bestFit="1" customWidth="1"/>
    <col min="5" max="5" width="12.90625" bestFit="1" customWidth="1"/>
    <col min="6" max="6" width="9.08984375" bestFit="1" customWidth="1"/>
  </cols>
  <sheetData>
    <row r="1" spans="1:6" x14ac:dyDescent="0.35">
      <c r="A1" t="s">
        <v>1201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tr">
        <f>_xlfn.CONCAT($B2, " ", $C2)</f>
        <v>Larix gmelinii</v>
      </c>
      <c r="B2" s="1" t="s">
        <v>647</v>
      </c>
      <c r="C2" s="1" t="s">
        <v>649</v>
      </c>
      <c r="D2" s="1" t="s">
        <v>7</v>
      </c>
      <c r="E2" s="1" t="s">
        <v>8</v>
      </c>
      <c r="F2" s="1" t="s">
        <v>15</v>
      </c>
    </row>
    <row r="3" spans="1:6" x14ac:dyDescent="0.35">
      <c r="A3" t="str">
        <f t="shared" ref="A3:A66" si="0">_xlfn.CONCAT($B3, " ", $C3)</f>
        <v>Larix gmelinii</v>
      </c>
      <c r="B3" s="1" t="s">
        <v>647</v>
      </c>
      <c r="C3" s="1" t="s">
        <v>649</v>
      </c>
      <c r="D3" s="1" t="s">
        <v>7</v>
      </c>
      <c r="E3" s="1" t="s">
        <v>8</v>
      </c>
      <c r="F3" s="1" t="s">
        <v>9</v>
      </c>
    </row>
    <row r="4" spans="1:6" x14ac:dyDescent="0.35">
      <c r="A4" t="str">
        <f t="shared" si="0"/>
        <v>Fraxinus mandshurica</v>
      </c>
      <c r="B4" s="1" t="s">
        <v>532</v>
      </c>
      <c r="C4" s="1" t="s">
        <v>536</v>
      </c>
      <c r="D4" s="1" t="s">
        <v>309</v>
      </c>
      <c r="E4" s="1" t="s">
        <v>277</v>
      </c>
      <c r="F4" s="1" t="s">
        <v>15</v>
      </c>
    </row>
    <row r="5" spans="1:6" x14ac:dyDescent="0.35">
      <c r="A5" t="str">
        <f t="shared" si="0"/>
        <v>Populus tremula</v>
      </c>
      <c r="B5" s="1" t="s">
        <v>938</v>
      </c>
      <c r="C5" s="1" t="s">
        <v>1202</v>
      </c>
      <c r="D5" s="1" t="s">
        <v>939</v>
      </c>
      <c r="E5" s="1" t="s">
        <v>92</v>
      </c>
      <c r="F5" s="1" t="s">
        <v>9</v>
      </c>
    </row>
    <row r="6" spans="1:6" x14ac:dyDescent="0.35">
      <c r="A6" t="str">
        <f t="shared" si="0"/>
        <v>Cinnamomum micranthum</v>
      </c>
      <c r="B6" s="1" t="s">
        <v>327</v>
      </c>
      <c r="C6" s="1" t="s">
        <v>331</v>
      </c>
      <c r="D6" s="1" t="s">
        <v>132</v>
      </c>
      <c r="E6" s="1" t="s">
        <v>133</v>
      </c>
      <c r="F6" s="1" t="s">
        <v>15</v>
      </c>
    </row>
    <row r="7" spans="1:6" x14ac:dyDescent="0.35">
      <c r="A7" t="str">
        <f t="shared" si="0"/>
        <v>Magnolia odora</v>
      </c>
      <c r="B7" s="1" t="s">
        <v>724</v>
      </c>
      <c r="C7" s="1" t="s">
        <v>740</v>
      </c>
      <c r="D7" s="1" t="s">
        <v>687</v>
      </c>
      <c r="E7" s="1" t="s">
        <v>170</v>
      </c>
      <c r="F7" s="1" t="s">
        <v>15</v>
      </c>
    </row>
    <row r="8" spans="1:6" x14ac:dyDescent="0.35">
      <c r="A8" t="str">
        <f t="shared" si="0"/>
        <v>Cinnamomum chekiangense</v>
      </c>
      <c r="B8" s="1" t="s">
        <v>327</v>
      </c>
      <c r="C8" s="1" t="s">
        <v>1203</v>
      </c>
      <c r="D8" s="1" t="s">
        <v>132</v>
      </c>
      <c r="E8" s="1" t="s">
        <v>133</v>
      </c>
      <c r="F8" s="1" t="s">
        <v>15</v>
      </c>
    </row>
    <row r="9" spans="1:6" x14ac:dyDescent="0.35">
      <c r="A9" t="str">
        <f t="shared" si="0"/>
        <v>Castanopsis fabri</v>
      </c>
      <c r="B9" s="1" t="s">
        <v>266</v>
      </c>
      <c r="C9" s="1" t="s">
        <v>28</v>
      </c>
      <c r="D9" s="1" t="s">
        <v>265</v>
      </c>
      <c r="E9" s="1" t="s">
        <v>110</v>
      </c>
      <c r="F9" s="1" t="s">
        <v>9</v>
      </c>
    </row>
    <row r="10" spans="1:6" x14ac:dyDescent="0.35">
      <c r="A10" t="str">
        <f t="shared" si="0"/>
        <v>Castanopsis carlesii</v>
      </c>
      <c r="B10" s="1" t="s">
        <v>266</v>
      </c>
      <c r="C10" s="1" t="s">
        <v>267</v>
      </c>
      <c r="D10" s="1" t="s">
        <v>265</v>
      </c>
      <c r="E10" s="1" t="s">
        <v>110</v>
      </c>
      <c r="F10" s="1" t="s">
        <v>9</v>
      </c>
    </row>
    <row r="11" spans="1:6" x14ac:dyDescent="0.35">
      <c r="A11" t="str">
        <f t="shared" si="0"/>
        <v>Elaeocarpus sylvestris</v>
      </c>
      <c r="B11" s="1" t="s">
        <v>455</v>
      </c>
      <c r="C11" s="1" t="s">
        <v>460</v>
      </c>
      <c r="D11" s="1" t="s">
        <v>156</v>
      </c>
      <c r="E11" s="1" t="s">
        <v>42</v>
      </c>
      <c r="F11" s="1" t="s">
        <v>15</v>
      </c>
    </row>
    <row r="12" spans="1:6" x14ac:dyDescent="0.35">
      <c r="A12" t="str">
        <f t="shared" si="0"/>
        <v>Endospermum chinense</v>
      </c>
      <c r="B12" s="1" t="s">
        <v>1204</v>
      </c>
      <c r="C12" s="1" t="s">
        <v>86</v>
      </c>
      <c r="D12" s="1" t="s">
        <v>91</v>
      </c>
      <c r="E12" s="1" t="s">
        <v>92</v>
      </c>
      <c r="F12" s="1" t="s">
        <v>15</v>
      </c>
    </row>
    <row r="13" spans="1:6" x14ac:dyDescent="0.35">
      <c r="A13" t="str">
        <f t="shared" si="0"/>
        <v>Aristotelia serrata</v>
      </c>
      <c r="B13" s="1" t="s">
        <v>154</v>
      </c>
      <c r="C13" s="1" t="s">
        <v>155</v>
      </c>
      <c r="D13" s="1" t="s">
        <v>156</v>
      </c>
      <c r="E13" s="1" t="s">
        <v>42</v>
      </c>
      <c r="F13" s="1" t="s">
        <v>15</v>
      </c>
    </row>
    <row r="14" spans="1:6" x14ac:dyDescent="0.35">
      <c r="A14" t="str">
        <f t="shared" si="0"/>
        <v>Ascarina lucida</v>
      </c>
      <c r="B14" s="1" t="s">
        <v>163</v>
      </c>
      <c r="C14" s="1" t="s">
        <v>164</v>
      </c>
      <c r="D14" s="1" t="s">
        <v>165</v>
      </c>
      <c r="E14" s="1" t="s">
        <v>166</v>
      </c>
      <c r="F14" s="1" t="s">
        <v>15</v>
      </c>
    </row>
    <row r="15" spans="1:6" x14ac:dyDescent="0.35">
      <c r="A15" t="str">
        <f t="shared" si="0"/>
        <v>Asplenium bulbiferum</v>
      </c>
      <c r="B15" s="1" t="s">
        <v>175</v>
      </c>
      <c r="C15" s="1" t="s">
        <v>176</v>
      </c>
      <c r="D15" s="1" t="s">
        <v>177</v>
      </c>
      <c r="E15" s="1" t="s">
        <v>62</v>
      </c>
      <c r="F15" s="1" t="s">
        <v>15</v>
      </c>
    </row>
    <row r="16" spans="1:6" x14ac:dyDescent="0.35">
      <c r="A16" t="str">
        <f t="shared" si="0"/>
        <v>Astelia fragrans</v>
      </c>
      <c r="B16" s="1" t="s">
        <v>178</v>
      </c>
      <c r="C16" s="1" t="s">
        <v>179</v>
      </c>
      <c r="D16" s="1" t="s">
        <v>180</v>
      </c>
      <c r="E16" s="1" t="s">
        <v>174</v>
      </c>
      <c r="F16" s="1" t="s">
        <v>15</v>
      </c>
    </row>
    <row r="17" spans="1:6" x14ac:dyDescent="0.35">
      <c r="A17" t="str">
        <f t="shared" si="0"/>
        <v>Astelia nervosa</v>
      </c>
      <c r="B17" s="1" t="s">
        <v>178</v>
      </c>
      <c r="C17" s="1" t="s">
        <v>181</v>
      </c>
      <c r="D17" s="1" t="s">
        <v>180</v>
      </c>
      <c r="E17" s="1" t="s">
        <v>174</v>
      </c>
      <c r="F17" s="1" t="s">
        <v>15</v>
      </c>
    </row>
    <row r="18" spans="1:6" x14ac:dyDescent="0.35">
      <c r="A18" t="str">
        <f t="shared" si="0"/>
        <v>Austroblechnum lanceolatum</v>
      </c>
      <c r="B18" s="1" t="s">
        <v>1205</v>
      </c>
      <c r="C18" s="1" t="s">
        <v>219</v>
      </c>
      <c r="D18" s="1" t="s">
        <v>217</v>
      </c>
      <c r="E18" s="1" t="s">
        <v>62</v>
      </c>
      <c r="F18" s="1" t="s">
        <v>15</v>
      </c>
    </row>
    <row r="19" spans="1:6" x14ac:dyDescent="0.35">
      <c r="A19" t="str">
        <f t="shared" si="0"/>
        <v>Lomaria discolor</v>
      </c>
      <c r="B19" s="1" t="s">
        <v>703</v>
      </c>
      <c r="C19" s="1" t="s">
        <v>704</v>
      </c>
      <c r="D19" s="1" t="s">
        <v>217</v>
      </c>
      <c r="E19" s="1" t="s">
        <v>62</v>
      </c>
      <c r="F19" s="1" t="s">
        <v>15</v>
      </c>
    </row>
    <row r="20" spans="1:6" x14ac:dyDescent="0.35">
      <c r="A20" t="str">
        <f t="shared" si="0"/>
        <v>Cranfillia fluviatilis</v>
      </c>
      <c r="B20" s="1" t="s">
        <v>1206</v>
      </c>
      <c r="C20" s="1" t="s">
        <v>218</v>
      </c>
      <c r="D20" s="1" t="s">
        <v>217</v>
      </c>
      <c r="E20" s="1" t="s">
        <v>62</v>
      </c>
      <c r="F20" s="1" t="s">
        <v>15</v>
      </c>
    </row>
    <row r="21" spans="1:6" x14ac:dyDescent="0.35">
      <c r="A21" t="str">
        <f t="shared" si="0"/>
        <v>Parablechnum novae-zelandiae</v>
      </c>
      <c r="B21" s="1" t="s">
        <v>875</v>
      </c>
      <c r="C21" s="1" t="s">
        <v>652</v>
      </c>
      <c r="D21" s="1" t="s">
        <v>217</v>
      </c>
      <c r="E21" s="1" t="s">
        <v>62</v>
      </c>
      <c r="F21" s="1" t="s">
        <v>15</v>
      </c>
    </row>
    <row r="22" spans="1:6" x14ac:dyDescent="0.35">
      <c r="A22" t="str">
        <f t="shared" si="0"/>
        <v>Parablechnum procerum</v>
      </c>
      <c r="B22" s="1" t="s">
        <v>875</v>
      </c>
      <c r="C22" s="1" t="s">
        <v>876</v>
      </c>
      <c r="D22" s="1" t="s">
        <v>217</v>
      </c>
      <c r="E22" s="1" t="s">
        <v>62</v>
      </c>
      <c r="F22" s="1" t="s">
        <v>15</v>
      </c>
    </row>
    <row r="23" spans="1:6" x14ac:dyDescent="0.35">
      <c r="A23" t="str">
        <f t="shared" si="0"/>
        <v>Carpodetus serratus</v>
      </c>
      <c r="B23" s="1" t="s">
        <v>254</v>
      </c>
      <c r="C23" s="1" t="s">
        <v>255</v>
      </c>
      <c r="D23" s="1" t="s">
        <v>256</v>
      </c>
      <c r="E23" s="1" t="s">
        <v>58</v>
      </c>
      <c r="F23" s="1" t="s">
        <v>15</v>
      </c>
    </row>
    <row r="24" spans="1:6" x14ac:dyDescent="0.35">
      <c r="A24" t="str">
        <f t="shared" si="0"/>
        <v>Coprosma ciliata</v>
      </c>
      <c r="B24" s="1" t="s">
        <v>350</v>
      </c>
      <c r="C24" s="1" t="s">
        <v>351</v>
      </c>
      <c r="D24" s="1" t="s">
        <v>65</v>
      </c>
      <c r="E24" s="1" t="s">
        <v>66</v>
      </c>
      <c r="F24" s="1" t="s">
        <v>15</v>
      </c>
    </row>
    <row r="25" spans="1:6" x14ac:dyDescent="0.35">
      <c r="A25" t="str">
        <f t="shared" si="0"/>
        <v>Coprosma foetidissima</v>
      </c>
      <c r="B25" s="1" t="s">
        <v>350</v>
      </c>
      <c r="C25" s="1" t="s">
        <v>352</v>
      </c>
      <c r="D25" s="1" t="s">
        <v>65</v>
      </c>
      <c r="E25" s="1" t="s">
        <v>66</v>
      </c>
      <c r="F25" s="1" t="s">
        <v>15</v>
      </c>
    </row>
    <row r="26" spans="1:6" x14ac:dyDescent="0.35">
      <c r="A26" t="str">
        <f t="shared" si="0"/>
        <v>Coprosma lucida</v>
      </c>
      <c r="B26" s="1" t="s">
        <v>350</v>
      </c>
      <c r="C26" s="1" t="s">
        <v>164</v>
      </c>
      <c r="D26" s="1" t="s">
        <v>65</v>
      </c>
      <c r="E26" s="1" t="s">
        <v>66</v>
      </c>
      <c r="F26" s="1" t="s">
        <v>15</v>
      </c>
    </row>
    <row r="27" spans="1:6" x14ac:dyDescent="0.35">
      <c r="A27" t="str">
        <f t="shared" si="0"/>
        <v>Coprosma rhamnoides</v>
      </c>
      <c r="B27" s="1" t="s">
        <v>350</v>
      </c>
      <c r="C27" s="1" t="s">
        <v>354</v>
      </c>
      <c r="D27" s="1" t="s">
        <v>65</v>
      </c>
      <c r="E27" s="1" t="s">
        <v>66</v>
      </c>
      <c r="F27" s="1" t="s">
        <v>15</v>
      </c>
    </row>
    <row r="28" spans="1:6" x14ac:dyDescent="0.35">
      <c r="A28" t="str">
        <f t="shared" si="0"/>
        <v>Coriaria arborea</v>
      </c>
      <c r="B28" s="1" t="s">
        <v>357</v>
      </c>
      <c r="C28" s="1" t="s">
        <v>358</v>
      </c>
      <c r="D28" s="1" t="s">
        <v>359</v>
      </c>
      <c r="E28" s="1" t="s">
        <v>360</v>
      </c>
      <c r="F28" s="1" t="s">
        <v>15</v>
      </c>
    </row>
    <row r="29" spans="1:6" x14ac:dyDescent="0.35">
      <c r="A29" t="str">
        <f t="shared" si="0"/>
        <v>Cyathea smithii</v>
      </c>
      <c r="B29" s="1" t="s">
        <v>395</v>
      </c>
      <c r="C29" s="1" t="s">
        <v>118</v>
      </c>
      <c r="D29" s="1" t="s">
        <v>119</v>
      </c>
      <c r="E29" s="1" t="s">
        <v>120</v>
      </c>
      <c r="F29" s="1" t="s">
        <v>15</v>
      </c>
    </row>
    <row r="30" spans="1:6" x14ac:dyDescent="0.35">
      <c r="A30" t="str">
        <f t="shared" si="0"/>
        <v>Dacrydium cupressinum</v>
      </c>
      <c r="B30" s="1" t="s">
        <v>407</v>
      </c>
      <c r="C30" s="1" t="s">
        <v>409</v>
      </c>
      <c r="D30" s="1" t="s">
        <v>405</v>
      </c>
      <c r="E30" s="1" t="s">
        <v>74</v>
      </c>
      <c r="F30" s="1" t="s">
        <v>15</v>
      </c>
    </row>
    <row r="31" spans="1:6" x14ac:dyDescent="0.35">
      <c r="A31" t="str">
        <f t="shared" si="0"/>
        <v>Dicksonia squarrosa</v>
      </c>
      <c r="B31" s="1" t="s">
        <v>425</v>
      </c>
      <c r="C31" s="1" t="s">
        <v>426</v>
      </c>
      <c r="D31" s="1" t="s">
        <v>427</v>
      </c>
      <c r="E31" s="1" t="s">
        <v>120</v>
      </c>
      <c r="F31" s="1" t="s">
        <v>15</v>
      </c>
    </row>
    <row r="32" spans="1:6" x14ac:dyDescent="0.35">
      <c r="A32" t="str">
        <f t="shared" si="0"/>
        <v>Gahnia procera</v>
      </c>
      <c r="B32" s="1" t="s">
        <v>540</v>
      </c>
      <c r="C32" s="1" t="s">
        <v>541</v>
      </c>
      <c r="D32" s="1" t="s">
        <v>542</v>
      </c>
      <c r="E32" s="1" t="s">
        <v>543</v>
      </c>
      <c r="F32" s="1" t="s">
        <v>15</v>
      </c>
    </row>
    <row r="33" spans="1:6" x14ac:dyDescent="0.35">
      <c r="A33" t="str">
        <f t="shared" si="0"/>
        <v>Gahnia xanthocarpa</v>
      </c>
      <c r="B33" s="1" t="s">
        <v>540</v>
      </c>
      <c r="C33" s="1" t="s">
        <v>544</v>
      </c>
      <c r="D33" s="1" t="s">
        <v>542</v>
      </c>
      <c r="E33" s="1" t="s">
        <v>543</v>
      </c>
      <c r="F33" s="1" t="s">
        <v>15</v>
      </c>
    </row>
    <row r="34" spans="1:6" x14ac:dyDescent="0.35">
      <c r="A34" t="str">
        <f t="shared" si="0"/>
        <v>Hedycarya arborea</v>
      </c>
      <c r="B34" s="1" t="s">
        <v>575</v>
      </c>
      <c r="C34" s="1" t="s">
        <v>358</v>
      </c>
      <c r="D34" s="1" t="s">
        <v>1207</v>
      </c>
      <c r="E34" s="1" t="s">
        <v>133</v>
      </c>
      <c r="F34" s="1" t="s">
        <v>15</v>
      </c>
    </row>
    <row r="35" spans="1:6" x14ac:dyDescent="0.35">
      <c r="A35" t="str">
        <f t="shared" si="0"/>
        <v>Lepidothamnus intermedius</v>
      </c>
      <c r="B35" s="1" t="s">
        <v>656</v>
      </c>
      <c r="C35" s="1" t="s">
        <v>657</v>
      </c>
      <c r="D35" s="1" t="s">
        <v>405</v>
      </c>
      <c r="E35" s="1" t="s">
        <v>74</v>
      </c>
      <c r="F35" s="1" t="s">
        <v>15</v>
      </c>
    </row>
    <row r="36" spans="1:6" x14ac:dyDescent="0.35">
      <c r="A36" t="str">
        <f t="shared" si="0"/>
        <v>Leptecophylla juniperina</v>
      </c>
      <c r="B36" s="1" t="s">
        <v>658</v>
      </c>
      <c r="C36" s="1" t="s">
        <v>659</v>
      </c>
      <c r="D36" s="1" t="s">
        <v>449</v>
      </c>
      <c r="E36" s="1" t="s">
        <v>54</v>
      </c>
      <c r="F36" s="1" t="s">
        <v>450</v>
      </c>
    </row>
    <row r="37" spans="1:6" x14ac:dyDescent="0.35">
      <c r="A37" t="str">
        <f t="shared" si="0"/>
        <v>Leptospermum scoparium</v>
      </c>
      <c r="B37" s="1" t="s">
        <v>666</v>
      </c>
      <c r="C37" s="1" t="s">
        <v>667</v>
      </c>
      <c r="D37" s="1" t="s">
        <v>222</v>
      </c>
      <c r="E37" s="1" t="s">
        <v>213</v>
      </c>
      <c r="F37" s="1" t="s">
        <v>17</v>
      </c>
    </row>
    <row r="38" spans="1:6" x14ac:dyDescent="0.35">
      <c r="A38" t="str">
        <f t="shared" si="0"/>
        <v>Leptospermum scoparium</v>
      </c>
      <c r="B38" s="1" t="s">
        <v>666</v>
      </c>
      <c r="C38" s="1" t="s">
        <v>667</v>
      </c>
      <c r="D38" s="1" t="s">
        <v>222</v>
      </c>
      <c r="E38" s="1" t="s">
        <v>213</v>
      </c>
      <c r="F38" s="1" t="s">
        <v>15</v>
      </c>
    </row>
    <row r="39" spans="1:6" x14ac:dyDescent="0.35">
      <c r="A39" t="str">
        <f t="shared" si="0"/>
        <v>Pseudodiphasium volubile</v>
      </c>
      <c r="B39" s="1" t="s">
        <v>985</v>
      </c>
      <c r="C39" s="1" t="s">
        <v>986</v>
      </c>
      <c r="D39" s="1" t="s">
        <v>987</v>
      </c>
      <c r="E39" s="1" t="s">
        <v>988</v>
      </c>
      <c r="F39" s="1" t="s">
        <v>15</v>
      </c>
    </row>
    <row r="40" spans="1:6" x14ac:dyDescent="0.35">
      <c r="A40" t="str">
        <f t="shared" si="0"/>
        <v>Manoao colensoi</v>
      </c>
      <c r="B40" s="1" t="s">
        <v>751</v>
      </c>
      <c r="C40" s="1" t="s">
        <v>752</v>
      </c>
      <c r="D40" s="1" t="s">
        <v>405</v>
      </c>
      <c r="E40" s="1" t="s">
        <v>74</v>
      </c>
      <c r="F40" s="1" t="s">
        <v>15</v>
      </c>
    </row>
    <row r="41" spans="1:6" x14ac:dyDescent="0.35">
      <c r="A41" t="str">
        <f t="shared" si="0"/>
        <v>Melicytus ramiflorus</v>
      </c>
      <c r="B41" s="1" t="s">
        <v>760</v>
      </c>
      <c r="C41" s="1" t="s">
        <v>761</v>
      </c>
      <c r="D41" s="1" t="s">
        <v>762</v>
      </c>
      <c r="E41" s="1" t="s">
        <v>92</v>
      </c>
      <c r="F41" s="1" t="s">
        <v>15</v>
      </c>
    </row>
    <row r="42" spans="1:6" x14ac:dyDescent="0.35">
      <c r="A42" t="str">
        <f t="shared" si="0"/>
        <v>Metrosideros diffusa</v>
      </c>
      <c r="B42" s="1" t="s">
        <v>767</v>
      </c>
      <c r="C42" s="1" t="s">
        <v>768</v>
      </c>
      <c r="D42" s="1" t="s">
        <v>222</v>
      </c>
      <c r="E42" s="1" t="s">
        <v>213</v>
      </c>
      <c r="F42" s="1" t="s">
        <v>15</v>
      </c>
    </row>
    <row r="43" spans="1:6" x14ac:dyDescent="0.35">
      <c r="A43" t="str">
        <f t="shared" si="0"/>
        <v>Metrosideros fulgens</v>
      </c>
      <c r="B43" s="1" t="s">
        <v>767</v>
      </c>
      <c r="C43" s="1" t="s">
        <v>769</v>
      </c>
      <c r="D43" s="1" t="s">
        <v>222</v>
      </c>
      <c r="E43" s="1" t="s">
        <v>213</v>
      </c>
      <c r="F43" s="1" t="s">
        <v>15</v>
      </c>
    </row>
    <row r="44" spans="1:6" x14ac:dyDescent="0.35">
      <c r="A44" t="str">
        <f t="shared" si="0"/>
        <v>Metrosideros umbellata</v>
      </c>
      <c r="B44" s="1" t="s">
        <v>767</v>
      </c>
      <c r="C44" s="1" t="s">
        <v>770</v>
      </c>
      <c r="D44" s="1" t="s">
        <v>222</v>
      </c>
      <c r="E44" s="1" t="s">
        <v>213</v>
      </c>
      <c r="F44" s="1" t="s">
        <v>15</v>
      </c>
    </row>
    <row r="45" spans="1:6" x14ac:dyDescent="0.35">
      <c r="A45" t="str">
        <f t="shared" si="0"/>
        <v>Myrsine australis</v>
      </c>
      <c r="B45" s="1" t="s">
        <v>804</v>
      </c>
      <c r="C45" s="1" t="s">
        <v>72</v>
      </c>
      <c r="D45" s="1" t="s">
        <v>153</v>
      </c>
      <c r="E45" s="1" t="s">
        <v>54</v>
      </c>
      <c r="F45" s="1" t="s">
        <v>15</v>
      </c>
    </row>
    <row r="46" spans="1:6" x14ac:dyDescent="0.35">
      <c r="A46" t="str">
        <f t="shared" si="0"/>
        <v>Myrsine divaricata</v>
      </c>
      <c r="B46" s="1" t="s">
        <v>804</v>
      </c>
      <c r="C46" s="1" t="s">
        <v>805</v>
      </c>
      <c r="D46" s="1" t="s">
        <v>153</v>
      </c>
      <c r="E46" s="1" t="s">
        <v>54</v>
      </c>
      <c r="F46" s="1" t="s">
        <v>15</v>
      </c>
    </row>
    <row r="47" spans="1:6" x14ac:dyDescent="0.35">
      <c r="A47" t="str">
        <f t="shared" si="0"/>
        <v>Neomyrtus pedunculata</v>
      </c>
      <c r="B47" s="1" t="s">
        <v>821</v>
      </c>
      <c r="C47" s="1" t="s">
        <v>44</v>
      </c>
      <c r="D47" s="1" t="s">
        <v>222</v>
      </c>
      <c r="E47" s="1" t="s">
        <v>213</v>
      </c>
      <c r="F47" s="1" t="s">
        <v>15</v>
      </c>
    </row>
    <row r="48" spans="1:6" x14ac:dyDescent="0.35">
      <c r="A48" t="str">
        <f t="shared" si="0"/>
        <v>Olearia avicenniaefolia</v>
      </c>
      <c r="B48" s="1" t="s">
        <v>850</v>
      </c>
      <c r="C48" s="1" t="s">
        <v>851</v>
      </c>
      <c r="D48" s="1" t="s">
        <v>57</v>
      </c>
      <c r="E48" s="1" t="s">
        <v>58</v>
      </c>
      <c r="F48" s="1" t="s">
        <v>15</v>
      </c>
    </row>
    <row r="49" spans="1:6" x14ac:dyDescent="0.35">
      <c r="A49" t="str">
        <f t="shared" si="0"/>
        <v>Phyllocladus trichomanoides</v>
      </c>
      <c r="B49" s="1" t="s">
        <v>897</v>
      </c>
      <c r="C49" s="1" t="s">
        <v>899</v>
      </c>
      <c r="D49" s="1" t="s">
        <v>405</v>
      </c>
      <c r="E49" s="1" t="s">
        <v>74</v>
      </c>
      <c r="F49" s="1" t="s">
        <v>15</v>
      </c>
    </row>
    <row r="50" spans="1:6" x14ac:dyDescent="0.35">
      <c r="A50" t="str">
        <f t="shared" si="0"/>
        <v>Podocarpus laetus</v>
      </c>
      <c r="B50" s="1" t="s">
        <v>929</v>
      </c>
      <c r="C50" s="1" t="s">
        <v>931</v>
      </c>
      <c r="D50" s="1" t="s">
        <v>405</v>
      </c>
      <c r="E50" s="1" t="s">
        <v>74</v>
      </c>
      <c r="F50" s="1" t="s">
        <v>15</v>
      </c>
    </row>
    <row r="51" spans="1:6" x14ac:dyDescent="0.35">
      <c r="A51" t="str">
        <f t="shared" si="0"/>
        <v>Polystichum chilense</v>
      </c>
      <c r="B51" s="1" t="s">
        <v>936</v>
      </c>
      <c r="C51" s="1" t="s">
        <v>937</v>
      </c>
      <c r="D51" s="1" t="s">
        <v>453</v>
      </c>
      <c r="E51" s="1" t="s">
        <v>62</v>
      </c>
      <c r="F51" s="1" t="s">
        <v>15</v>
      </c>
    </row>
    <row r="52" spans="1:6" x14ac:dyDescent="0.35">
      <c r="A52" t="str">
        <f t="shared" si="0"/>
        <v>Pectinopitys ferruginea</v>
      </c>
      <c r="B52" s="1" t="s">
        <v>883</v>
      </c>
      <c r="C52" s="1" t="s">
        <v>793</v>
      </c>
      <c r="D52" s="1" t="s">
        <v>405</v>
      </c>
      <c r="E52" s="1" t="s">
        <v>74</v>
      </c>
      <c r="F52" s="1" t="s">
        <v>15</v>
      </c>
    </row>
    <row r="53" spans="1:6" x14ac:dyDescent="0.35">
      <c r="A53" t="str">
        <f t="shared" si="0"/>
        <v>Neopanax colensoi</v>
      </c>
      <c r="B53" s="1" t="s">
        <v>822</v>
      </c>
      <c r="C53" s="1" t="s">
        <v>752</v>
      </c>
      <c r="D53" s="1" t="s">
        <v>419</v>
      </c>
      <c r="E53" s="1" t="s">
        <v>420</v>
      </c>
      <c r="F53" s="1" t="s">
        <v>15</v>
      </c>
    </row>
    <row r="54" spans="1:6" x14ac:dyDescent="0.35">
      <c r="A54" t="str">
        <f t="shared" si="0"/>
        <v>Pseudopanax crassifolius</v>
      </c>
      <c r="B54" s="1" t="s">
        <v>992</v>
      </c>
      <c r="C54" s="1" t="s">
        <v>993</v>
      </c>
      <c r="D54" s="1" t="s">
        <v>419</v>
      </c>
      <c r="E54" s="1" t="s">
        <v>420</v>
      </c>
      <c r="F54" s="1" t="s">
        <v>15</v>
      </c>
    </row>
    <row r="55" spans="1:6" x14ac:dyDescent="0.35">
      <c r="A55" t="str">
        <f t="shared" si="0"/>
        <v>Pseudowintera colorata</v>
      </c>
      <c r="B55" s="1" t="s">
        <v>995</v>
      </c>
      <c r="C55" s="1" t="s">
        <v>996</v>
      </c>
      <c r="D55" s="1" t="s">
        <v>997</v>
      </c>
      <c r="E55" s="1" t="s">
        <v>998</v>
      </c>
      <c r="F55" s="1" t="s">
        <v>15</v>
      </c>
    </row>
    <row r="56" spans="1:6" x14ac:dyDescent="0.35">
      <c r="A56" t="str">
        <f t="shared" si="0"/>
        <v>Quintinia serrata</v>
      </c>
      <c r="B56" s="1" t="s">
        <v>1024</v>
      </c>
      <c r="C56" s="1" t="s">
        <v>155</v>
      </c>
      <c r="D56" s="1" t="s">
        <v>1025</v>
      </c>
      <c r="E56" s="1" t="s">
        <v>1026</v>
      </c>
      <c r="F56" s="1" t="s">
        <v>15</v>
      </c>
    </row>
    <row r="57" spans="1:6" x14ac:dyDescent="0.35">
      <c r="A57" t="str">
        <f t="shared" si="0"/>
        <v>Raukaua simplex</v>
      </c>
      <c r="B57" s="1" t="s">
        <v>1027</v>
      </c>
      <c r="C57" s="1" t="s">
        <v>1028</v>
      </c>
      <c r="D57" s="1" t="s">
        <v>419</v>
      </c>
      <c r="E57" s="1" t="s">
        <v>420</v>
      </c>
      <c r="F57" s="1" t="s">
        <v>15</v>
      </c>
    </row>
    <row r="58" spans="1:6" x14ac:dyDescent="0.35">
      <c r="A58" t="str">
        <f t="shared" si="0"/>
        <v>Schefflera digita</v>
      </c>
      <c r="B58" s="1" t="s">
        <v>1079</v>
      </c>
      <c r="C58" s="1" t="s">
        <v>1080</v>
      </c>
      <c r="D58" s="1" t="s">
        <v>419</v>
      </c>
      <c r="E58" s="1" t="s">
        <v>420</v>
      </c>
      <c r="F58" s="1" t="s">
        <v>15</v>
      </c>
    </row>
    <row r="59" spans="1:6" x14ac:dyDescent="0.35">
      <c r="A59" t="str">
        <f t="shared" si="0"/>
        <v>Sticherus cunninghamii</v>
      </c>
      <c r="B59" s="1" t="s">
        <v>1113</v>
      </c>
      <c r="C59" s="1" t="s">
        <v>1114</v>
      </c>
      <c r="D59" s="1" t="s">
        <v>430</v>
      </c>
      <c r="E59" s="1" t="s">
        <v>431</v>
      </c>
      <c r="F59" s="1" t="s">
        <v>15</v>
      </c>
    </row>
    <row r="60" spans="1:6" x14ac:dyDescent="0.35">
      <c r="A60" t="str">
        <f t="shared" si="0"/>
        <v>Pterophylla racemosa</v>
      </c>
      <c r="B60" s="1" t="s">
        <v>1005</v>
      </c>
      <c r="C60" s="1" t="s">
        <v>196</v>
      </c>
      <c r="D60" s="1" t="s">
        <v>41</v>
      </c>
      <c r="E60" s="1" t="s">
        <v>42</v>
      </c>
      <c r="F60" s="1" t="s">
        <v>15</v>
      </c>
    </row>
    <row r="61" spans="1:6" x14ac:dyDescent="0.35">
      <c r="A61" t="str">
        <f t="shared" si="0"/>
        <v>Vaccinium corymbosum</v>
      </c>
      <c r="B61" s="1" t="s">
        <v>1171</v>
      </c>
      <c r="C61" s="1" t="s">
        <v>1172</v>
      </c>
      <c r="D61" s="1" t="s">
        <v>449</v>
      </c>
      <c r="E61" s="1" t="s">
        <v>54</v>
      </c>
      <c r="F61" s="1" t="s">
        <v>450</v>
      </c>
    </row>
    <row r="62" spans="1:6" x14ac:dyDescent="0.35">
      <c r="A62" t="str">
        <f t="shared" si="0"/>
        <v>Tristaniopsis elliptica</v>
      </c>
      <c r="B62" s="1" t="s">
        <v>1161</v>
      </c>
      <c r="C62" s="1" t="s">
        <v>1162</v>
      </c>
      <c r="D62" s="1" t="s">
        <v>222</v>
      </c>
      <c r="E62" s="1" t="s">
        <v>213</v>
      </c>
      <c r="F62" s="1" t="s">
        <v>17</v>
      </c>
    </row>
    <row r="63" spans="1:6" x14ac:dyDescent="0.35">
      <c r="A63" t="str">
        <f t="shared" si="0"/>
        <v>Agathis kinabaluensis</v>
      </c>
      <c r="B63" s="1" t="s">
        <v>71</v>
      </c>
      <c r="C63" s="1" t="s">
        <v>75</v>
      </c>
      <c r="D63" s="1" t="s">
        <v>73</v>
      </c>
      <c r="E63" s="1" t="s">
        <v>74</v>
      </c>
      <c r="F63" s="1" t="s">
        <v>15</v>
      </c>
    </row>
    <row r="64" spans="1:6" x14ac:dyDescent="0.35">
      <c r="A64" t="str">
        <f t="shared" si="0"/>
        <v>Xanthophyllum tenue</v>
      </c>
      <c r="B64" s="1" t="s">
        <v>1193</v>
      </c>
      <c r="C64" s="1" t="s">
        <v>1194</v>
      </c>
      <c r="D64" s="1" t="s">
        <v>1195</v>
      </c>
      <c r="E64" s="1" t="s">
        <v>14</v>
      </c>
      <c r="F64" s="1" t="s">
        <v>15</v>
      </c>
    </row>
    <row r="65" spans="1:6" x14ac:dyDescent="0.35">
      <c r="A65" t="str">
        <f t="shared" si="0"/>
        <v>Pterophylla faxinea</v>
      </c>
      <c r="B65" s="1" t="s">
        <v>1005</v>
      </c>
      <c r="C65" s="1" t="s">
        <v>1006</v>
      </c>
      <c r="D65" s="1" t="s">
        <v>41</v>
      </c>
      <c r="E65" s="1" t="s">
        <v>42</v>
      </c>
      <c r="F65" s="1" t="s">
        <v>15</v>
      </c>
    </row>
    <row r="66" spans="1:6" x14ac:dyDescent="0.35">
      <c r="A66" t="str">
        <f t="shared" si="0"/>
        <v>Podocarpus gibbsii</v>
      </c>
      <c r="B66" s="1" t="s">
        <v>929</v>
      </c>
      <c r="C66" s="1" t="s">
        <v>930</v>
      </c>
      <c r="D66" s="1" t="s">
        <v>405</v>
      </c>
      <c r="E66" s="1" t="s">
        <v>74</v>
      </c>
      <c r="F66" s="1" t="s">
        <v>15</v>
      </c>
    </row>
    <row r="67" spans="1:6" x14ac:dyDescent="0.35">
      <c r="A67" t="str">
        <f t="shared" ref="A67:A130" si="1">_xlfn.CONCAT($B67, " ", $C67)</f>
        <v>Dacrydium pectinatum</v>
      </c>
      <c r="B67" s="1" t="s">
        <v>407</v>
      </c>
      <c r="C67" s="1" t="s">
        <v>411</v>
      </c>
      <c r="D67" s="1" t="s">
        <v>405</v>
      </c>
      <c r="E67" s="1" t="s">
        <v>74</v>
      </c>
      <c r="F67" s="1" t="s">
        <v>15</v>
      </c>
    </row>
    <row r="68" spans="1:6" x14ac:dyDescent="0.35">
      <c r="A68" t="str">
        <f t="shared" si="1"/>
        <v>Quercus lowii</v>
      </c>
      <c r="B68" s="1" t="s">
        <v>1012</v>
      </c>
      <c r="C68" s="1" t="s">
        <v>1018</v>
      </c>
      <c r="D68" s="1" t="s">
        <v>265</v>
      </c>
      <c r="E68" s="1" t="s">
        <v>110</v>
      </c>
      <c r="F68" s="1" t="s">
        <v>9</v>
      </c>
    </row>
    <row r="69" spans="1:6" x14ac:dyDescent="0.35">
      <c r="A69" t="str">
        <f t="shared" si="1"/>
        <v>Syzygium subdecussatum</v>
      </c>
      <c r="B69" s="1" t="s">
        <v>1123</v>
      </c>
      <c r="C69" s="1" t="s">
        <v>1135</v>
      </c>
      <c r="D69" s="1" t="s">
        <v>222</v>
      </c>
      <c r="E69" s="1" t="s">
        <v>213</v>
      </c>
      <c r="F69" s="1" t="s">
        <v>15</v>
      </c>
    </row>
    <row r="70" spans="1:6" x14ac:dyDescent="0.35">
      <c r="A70" t="str">
        <f t="shared" si="1"/>
        <v>Tetractomia tetrandra</v>
      </c>
      <c r="B70" s="1" t="s">
        <v>1145</v>
      </c>
      <c r="C70" s="1" t="s">
        <v>1146</v>
      </c>
      <c r="D70" s="1" t="s">
        <v>45</v>
      </c>
      <c r="E70" s="1" t="s">
        <v>22</v>
      </c>
      <c r="F70" s="1" t="s">
        <v>15</v>
      </c>
    </row>
    <row r="71" spans="1:6" x14ac:dyDescent="0.35">
      <c r="A71" t="str">
        <f t="shared" si="1"/>
        <v>Syzygium castaneum</v>
      </c>
      <c r="B71" s="1" t="s">
        <v>1123</v>
      </c>
      <c r="C71" s="1" t="s">
        <v>1126</v>
      </c>
      <c r="D71" s="1" t="s">
        <v>222</v>
      </c>
      <c r="E71" s="1" t="s">
        <v>213</v>
      </c>
      <c r="F71" s="1" t="s">
        <v>15</v>
      </c>
    </row>
    <row r="72" spans="1:6" x14ac:dyDescent="0.35">
      <c r="A72" t="str">
        <f t="shared" si="1"/>
        <v>Lithocarpus rigidus</v>
      </c>
      <c r="B72" s="1" t="s">
        <v>689</v>
      </c>
      <c r="C72" s="1" t="s">
        <v>696</v>
      </c>
      <c r="D72" s="1" t="s">
        <v>265</v>
      </c>
      <c r="E72" s="1" t="s">
        <v>110</v>
      </c>
      <c r="F72" s="1" t="s">
        <v>9</v>
      </c>
    </row>
    <row r="73" spans="1:6" x14ac:dyDescent="0.35">
      <c r="A73" t="str">
        <f t="shared" si="1"/>
        <v>Dacrycarpus imbricatus</v>
      </c>
      <c r="B73" s="1" t="s">
        <v>403</v>
      </c>
      <c r="C73" s="1" t="s">
        <v>406</v>
      </c>
      <c r="D73" s="1" t="s">
        <v>405</v>
      </c>
      <c r="E73" s="1" t="s">
        <v>74</v>
      </c>
      <c r="F73" s="1" t="s">
        <v>15</v>
      </c>
    </row>
    <row r="74" spans="1:6" x14ac:dyDescent="0.35">
      <c r="A74" t="str">
        <f t="shared" si="1"/>
        <v>Phyllocladus hypophyllus</v>
      </c>
      <c r="B74" s="1" t="s">
        <v>897</v>
      </c>
      <c r="C74" s="1" t="s">
        <v>898</v>
      </c>
      <c r="D74" s="1" t="s">
        <v>405</v>
      </c>
      <c r="E74" s="1" t="s">
        <v>74</v>
      </c>
      <c r="F74" s="1" t="s">
        <v>15</v>
      </c>
    </row>
    <row r="75" spans="1:6" x14ac:dyDescent="0.35">
      <c r="A75" t="str">
        <f t="shared" si="1"/>
        <v>Dacrydium gracile</v>
      </c>
      <c r="B75" s="1" t="s">
        <v>407</v>
      </c>
      <c r="C75" s="1" t="s">
        <v>410</v>
      </c>
      <c r="D75" s="1" t="s">
        <v>405</v>
      </c>
      <c r="E75" s="1" t="s">
        <v>74</v>
      </c>
      <c r="F75" s="1" t="s">
        <v>15</v>
      </c>
    </row>
    <row r="76" spans="1:6" x14ac:dyDescent="0.35">
      <c r="A76" t="str">
        <f t="shared" si="1"/>
        <v>Tristaniopsis obovata</v>
      </c>
      <c r="B76" s="1" t="s">
        <v>1161</v>
      </c>
      <c r="C76" s="1" t="s">
        <v>1163</v>
      </c>
      <c r="D76" s="1" t="s">
        <v>222</v>
      </c>
      <c r="E76" s="1" t="s">
        <v>213</v>
      </c>
      <c r="F76" s="1" t="s">
        <v>17</v>
      </c>
    </row>
    <row r="77" spans="1:6" x14ac:dyDescent="0.35">
      <c r="A77" t="str">
        <f t="shared" si="1"/>
        <v>Payena microphylla</v>
      </c>
      <c r="B77" s="1" t="s">
        <v>881</v>
      </c>
      <c r="C77" s="1" t="s">
        <v>882</v>
      </c>
      <c r="D77" s="1" t="s">
        <v>318</v>
      </c>
      <c r="E77" s="1" t="s">
        <v>54</v>
      </c>
      <c r="F77" s="1" t="s">
        <v>15</v>
      </c>
    </row>
    <row r="78" spans="1:6" x14ac:dyDescent="0.35">
      <c r="A78" t="str">
        <f t="shared" si="1"/>
        <v>Lithocarpus clementianus</v>
      </c>
      <c r="B78" s="1" t="s">
        <v>689</v>
      </c>
      <c r="C78" s="1" t="s">
        <v>692</v>
      </c>
      <c r="D78" s="1" t="s">
        <v>265</v>
      </c>
      <c r="E78" s="1" t="s">
        <v>110</v>
      </c>
      <c r="F78" s="1" t="s">
        <v>9</v>
      </c>
    </row>
    <row r="79" spans="1:6" x14ac:dyDescent="0.35">
      <c r="A79" t="str">
        <f t="shared" si="1"/>
        <v>Syzygium pachysepalum</v>
      </c>
      <c r="B79" s="1" t="s">
        <v>1123</v>
      </c>
      <c r="C79" s="1" t="s">
        <v>1134</v>
      </c>
      <c r="D79" s="1" t="s">
        <v>222</v>
      </c>
      <c r="E79" s="1" t="s">
        <v>213</v>
      </c>
      <c r="F79" s="1" t="s">
        <v>15</v>
      </c>
    </row>
    <row r="80" spans="1:6" x14ac:dyDescent="0.35">
      <c r="A80" t="str">
        <f t="shared" si="1"/>
        <v>Syzygium napiforme</v>
      </c>
      <c r="B80" s="1" t="s">
        <v>1123</v>
      </c>
      <c r="C80" s="1" t="s">
        <v>1133</v>
      </c>
      <c r="D80" s="1" t="s">
        <v>222</v>
      </c>
      <c r="E80" s="1" t="s">
        <v>213</v>
      </c>
      <c r="F80" s="1" t="s">
        <v>15</v>
      </c>
    </row>
    <row r="81" spans="1:6" x14ac:dyDescent="0.35">
      <c r="A81" t="str">
        <f t="shared" si="1"/>
        <v>Syzygium kunstleri</v>
      </c>
      <c r="B81" s="1" t="s">
        <v>1123</v>
      </c>
      <c r="C81" s="1" t="s">
        <v>1130</v>
      </c>
      <c r="D81" s="1" t="s">
        <v>222</v>
      </c>
      <c r="E81" s="1" t="s">
        <v>213</v>
      </c>
      <c r="F81" s="1" t="s">
        <v>15</v>
      </c>
    </row>
    <row r="82" spans="1:6" x14ac:dyDescent="0.35">
      <c r="A82" t="str">
        <f t="shared" si="1"/>
        <v>Lithocarpus lampadarius</v>
      </c>
      <c r="B82" s="1" t="s">
        <v>689</v>
      </c>
      <c r="C82" s="1" t="s">
        <v>695</v>
      </c>
      <c r="D82" s="1" t="s">
        <v>265</v>
      </c>
      <c r="E82" s="1" t="s">
        <v>110</v>
      </c>
      <c r="F82" s="1" t="s">
        <v>9</v>
      </c>
    </row>
    <row r="83" spans="1:6" x14ac:dyDescent="0.35">
      <c r="A83" t="str">
        <f t="shared" si="1"/>
        <v>Madhuca endertii</v>
      </c>
      <c r="B83" s="1" t="s">
        <v>722</v>
      </c>
      <c r="C83" s="1" t="s">
        <v>723</v>
      </c>
      <c r="D83" s="1" t="s">
        <v>318</v>
      </c>
      <c r="E83" s="1" t="s">
        <v>54</v>
      </c>
      <c r="F83" s="1" t="s">
        <v>15</v>
      </c>
    </row>
    <row r="84" spans="1:6" x14ac:dyDescent="0.35">
      <c r="A84" t="str">
        <f t="shared" si="1"/>
        <v>Lithocarpus confertus</v>
      </c>
      <c r="B84" s="1" t="s">
        <v>689</v>
      </c>
      <c r="C84" s="1" t="s">
        <v>693</v>
      </c>
      <c r="D84" s="1" t="s">
        <v>265</v>
      </c>
      <c r="E84" s="1" t="s">
        <v>110</v>
      </c>
      <c r="F84" s="1" t="s">
        <v>9</v>
      </c>
    </row>
    <row r="85" spans="1:6" x14ac:dyDescent="0.35">
      <c r="A85" t="str">
        <f t="shared" si="1"/>
        <v>Ternstroemia coriacea</v>
      </c>
      <c r="B85" s="1" t="s">
        <v>1144</v>
      </c>
      <c r="C85" s="1" t="s">
        <v>489</v>
      </c>
      <c r="D85" s="1" t="s">
        <v>515</v>
      </c>
      <c r="E85" s="1" t="s">
        <v>54</v>
      </c>
      <c r="F85" s="1" t="s">
        <v>15</v>
      </c>
    </row>
    <row r="86" spans="1:6" x14ac:dyDescent="0.35">
      <c r="A86" t="str">
        <f t="shared" si="1"/>
        <v>Magnolia carsonii</v>
      </c>
      <c r="B86" s="1" t="s">
        <v>724</v>
      </c>
      <c r="C86" s="1" t="s">
        <v>727</v>
      </c>
      <c r="D86" s="1" t="s">
        <v>687</v>
      </c>
      <c r="E86" s="1" t="s">
        <v>170</v>
      </c>
      <c r="F86" s="1" t="s">
        <v>15</v>
      </c>
    </row>
    <row r="87" spans="1:6" x14ac:dyDescent="0.35">
      <c r="A87" t="str">
        <f t="shared" si="1"/>
        <v>Cinnamomum iners</v>
      </c>
      <c r="B87" s="1" t="s">
        <v>327</v>
      </c>
      <c r="C87" s="1" t="s">
        <v>330</v>
      </c>
      <c r="D87" s="1" t="s">
        <v>132</v>
      </c>
      <c r="E87" s="1" t="s">
        <v>133</v>
      </c>
      <c r="F87" s="1" t="s">
        <v>15</v>
      </c>
    </row>
    <row r="88" spans="1:6" x14ac:dyDescent="0.35">
      <c r="A88" t="str">
        <f t="shared" si="1"/>
        <v>Fraxinus excelsior</v>
      </c>
      <c r="B88" s="1" t="s">
        <v>532</v>
      </c>
      <c r="C88" s="1" t="s">
        <v>535</v>
      </c>
      <c r="D88" s="1" t="s">
        <v>309</v>
      </c>
      <c r="E88" s="1" t="s">
        <v>277</v>
      </c>
      <c r="F88" s="1" t="s">
        <v>15</v>
      </c>
    </row>
    <row r="89" spans="1:6" x14ac:dyDescent="0.35">
      <c r="A89" t="str">
        <f t="shared" si="1"/>
        <v>Acer pseudoplatanus</v>
      </c>
      <c r="B89" s="1" t="s">
        <v>19</v>
      </c>
      <c r="C89" s="1" t="s">
        <v>32</v>
      </c>
      <c r="D89" s="1" t="s">
        <v>21</v>
      </c>
      <c r="E89" s="1" t="s">
        <v>22</v>
      </c>
      <c r="F89" s="1" t="s">
        <v>15</v>
      </c>
    </row>
    <row r="90" spans="1:6" x14ac:dyDescent="0.35">
      <c r="A90" t="str">
        <f t="shared" si="1"/>
        <v>Acer pseudoplatanus</v>
      </c>
      <c r="B90" s="1" t="s">
        <v>19</v>
      </c>
      <c r="C90" s="1" t="s">
        <v>32</v>
      </c>
      <c r="D90" s="1" t="s">
        <v>21</v>
      </c>
      <c r="E90" s="1" t="s">
        <v>22</v>
      </c>
      <c r="F90" s="1" t="s">
        <v>326</v>
      </c>
    </row>
    <row r="91" spans="1:6" x14ac:dyDescent="0.35">
      <c r="A91" t="str">
        <f t="shared" si="1"/>
        <v>Acer platanoides</v>
      </c>
      <c r="B91" s="1" t="s">
        <v>19</v>
      </c>
      <c r="C91" s="1" t="s">
        <v>31</v>
      </c>
      <c r="D91" s="1" t="s">
        <v>21</v>
      </c>
      <c r="E91" s="1" t="s">
        <v>22</v>
      </c>
      <c r="F91" s="1" t="s">
        <v>15</v>
      </c>
    </row>
    <row r="92" spans="1:6" x14ac:dyDescent="0.35">
      <c r="A92" t="str">
        <f t="shared" si="1"/>
        <v>Acer platanoides</v>
      </c>
      <c r="B92" s="1" t="s">
        <v>19</v>
      </c>
      <c r="C92" s="1" t="s">
        <v>31</v>
      </c>
      <c r="D92" s="1" t="s">
        <v>21</v>
      </c>
      <c r="E92" s="1" t="s">
        <v>22</v>
      </c>
      <c r="F92" s="1" t="s">
        <v>326</v>
      </c>
    </row>
    <row r="93" spans="1:6" x14ac:dyDescent="0.35">
      <c r="A93" t="str">
        <f t="shared" si="1"/>
        <v>Carpinus betulus</v>
      </c>
      <c r="B93" s="1" t="s">
        <v>251</v>
      </c>
      <c r="C93" s="1" t="s">
        <v>252</v>
      </c>
      <c r="D93" s="1" t="s">
        <v>109</v>
      </c>
      <c r="E93" s="1" t="s">
        <v>110</v>
      </c>
      <c r="F93" s="1" t="s">
        <v>9</v>
      </c>
    </row>
    <row r="94" spans="1:6" x14ac:dyDescent="0.35">
      <c r="A94" t="str">
        <f t="shared" si="1"/>
        <v>Tilia cordata</v>
      </c>
      <c r="B94" s="1" t="s">
        <v>1152</v>
      </c>
      <c r="C94" s="1" t="s">
        <v>253</v>
      </c>
      <c r="D94" s="1" t="s">
        <v>280</v>
      </c>
      <c r="E94" s="1" t="s">
        <v>281</v>
      </c>
      <c r="F94" s="1" t="s">
        <v>9</v>
      </c>
    </row>
    <row r="95" spans="1:6" x14ac:dyDescent="0.35">
      <c r="A95" t="str">
        <f t="shared" si="1"/>
        <v>Fagus sylvatica</v>
      </c>
      <c r="B95" s="1" t="s">
        <v>516</v>
      </c>
      <c r="C95" s="1" t="s">
        <v>519</v>
      </c>
      <c r="D95" s="1" t="s">
        <v>265</v>
      </c>
      <c r="E95" s="1" t="s">
        <v>110</v>
      </c>
      <c r="F95" s="1" t="s">
        <v>9</v>
      </c>
    </row>
    <row r="96" spans="1:6" x14ac:dyDescent="0.35">
      <c r="A96" t="str">
        <f t="shared" si="1"/>
        <v>Acer saccharum</v>
      </c>
      <c r="B96" s="1" t="s">
        <v>19</v>
      </c>
      <c r="C96" s="1" t="s">
        <v>34</v>
      </c>
      <c r="D96" s="1" t="s">
        <v>21</v>
      </c>
      <c r="E96" s="1" t="s">
        <v>22</v>
      </c>
      <c r="F96" s="1" t="s">
        <v>15</v>
      </c>
    </row>
    <row r="97" spans="1:6" x14ac:dyDescent="0.35">
      <c r="A97" t="str">
        <f t="shared" si="1"/>
        <v>Acer saccharum</v>
      </c>
      <c r="B97" s="1" t="s">
        <v>19</v>
      </c>
      <c r="C97" s="1" t="s">
        <v>34</v>
      </c>
      <c r="D97" s="1" t="s">
        <v>21</v>
      </c>
      <c r="E97" s="1" t="s">
        <v>22</v>
      </c>
      <c r="F97" s="1" t="s">
        <v>326</v>
      </c>
    </row>
    <row r="98" spans="1:6" x14ac:dyDescent="0.35">
      <c r="A98" t="str">
        <f t="shared" si="1"/>
        <v>Aesculus hippocastanum</v>
      </c>
      <c r="B98" s="1" t="s">
        <v>68</v>
      </c>
      <c r="C98" s="1" t="s">
        <v>69</v>
      </c>
      <c r="D98" s="1" t="s">
        <v>21</v>
      </c>
      <c r="E98" s="1" t="s">
        <v>22</v>
      </c>
      <c r="F98" s="1" t="s">
        <v>15</v>
      </c>
    </row>
    <row r="99" spans="1:6" x14ac:dyDescent="0.35">
      <c r="A99" t="str">
        <f t="shared" si="1"/>
        <v>Aesculus parviflora</v>
      </c>
      <c r="B99" s="1" t="s">
        <v>68</v>
      </c>
      <c r="C99" s="1" t="s">
        <v>70</v>
      </c>
      <c r="D99" s="1" t="s">
        <v>21</v>
      </c>
      <c r="E99" s="1" t="s">
        <v>22</v>
      </c>
      <c r="F99" s="1" t="s">
        <v>15</v>
      </c>
    </row>
    <row r="100" spans="1:6" x14ac:dyDescent="0.35">
      <c r="A100" t="str">
        <f t="shared" si="1"/>
        <v>Asimina triloba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 t="s">
        <v>15</v>
      </c>
    </row>
    <row r="101" spans="1:6" x14ac:dyDescent="0.35">
      <c r="A101" t="str">
        <f t="shared" si="1"/>
        <v>Catalpa bignonioides</v>
      </c>
      <c r="B101" s="1" t="s">
        <v>274</v>
      </c>
      <c r="C101" s="1" t="s">
        <v>275</v>
      </c>
      <c r="D101" s="1" t="s">
        <v>276</v>
      </c>
      <c r="E101" s="1" t="s">
        <v>277</v>
      </c>
      <c r="F101" s="1" t="s">
        <v>15</v>
      </c>
    </row>
    <row r="102" spans="1:6" x14ac:dyDescent="0.35">
      <c r="A102" t="str">
        <f t="shared" si="1"/>
        <v>Cercidiphyllum japonicum</v>
      </c>
      <c r="B102" s="1" t="s">
        <v>294</v>
      </c>
      <c r="C102" s="1" t="s">
        <v>295</v>
      </c>
      <c r="D102" s="1" t="s">
        <v>296</v>
      </c>
      <c r="E102" s="1" t="s">
        <v>188</v>
      </c>
      <c r="F102" s="1" t="s">
        <v>15</v>
      </c>
    </row>
    <row r="103" spans="1:6" x14ac:dyDescent="0.35">
      <c r="A103" t="str">
        <f t="shared" si="1"/>
        <v>Chionanthus virginicus</v>
      </c>
      <c r="B103" s="1" t="s">
        <v>307</v>
      </c>
      <c r="C103" s="1" t="s">
        <v>308</v>
      </c>
      <c r="D103" s="1" t="s">
        <v>309</v>
      </c>
      <c r="E103" s="1" t="s">
        <v>277</v>
      </c>
      <c r="F103" s="1" t="s">
        <v>15</v>
      </c>
    </row>
    <row r="104" spans="1:6" x14ac:dyDescent="0.35">
      <c r="A104" t="str">
        <f t="shared" si="1"/>
        <v>Cornus florida</v>
      </c>
      <c r="B104" s="1" t="s">
        <v>361</v>
      </c>
      <c r="C104" s="1" t="s">
        <v>364</v>
      </c>
      <c r="D104" s="1" t="s">
        <v>87</v>
      </c>
      <c r="E104" s="1" t="s">
        <v>88</v>
      </c>
      <c r="F104" s="1" t="s">
        <v>15</v>
      </c>
    </row>
    <row r="105" spans="1:6" x14ac:dyDescent="0.35">
      <c r="A105" t="str">
        <f t="shared" si="1"/>
        <v>Diospyros virginiana</v>
      </c>
      <c r="B105" s="1" t="s">
        <v>441</v>
      </c>
      <c r="C105" s="1" t="s">
        <v>444</v>
      </c>
      <c r="D105" s="1" t="s">
        <v>443</v>
      </c>
      <c r="E105" s="1" t="s">
        <v>54</v>
      </c>
      <c r="F105" s="1" t="s">
        <v>15</v>
      </c>
    </row>
    <row r="106" spans="1:6" x14ac:dyDescent="0.35">
      <c r="A106" t="str">
        <f t="shared" si="1"/>
        <v>Fraxinus americana</v>
      </c>
      <c r="B106" s="1" t="s">
        <v>532</v>
      </c>
      <c r="C106" s="1" t="s">
        <v>533</v>
      </c>
      <c r="D106" s="1" t="s">
        <v>309</v>
      </c>
      <c r="E106" s="1" t="s">
        <v>277</v>
      </c>
      <c r="F106" s="1" t="s">
        <v>15</v>
      </c>
    </row>
    <row r="107" spans="1:6" x14ac:dyDescent="0.35">
      <c r="A107" t="str">
        <f t="shared" si="1"/>
        <v>Gleditsia triacanthos</v>
      </c>
      <c r="B107" s="1" t="s">
        <v>558</v>
      </c>
      <c r="C107" s="1" t="s">
        <v>559</v>
      </c>
      <c r="D107" s="1" t="s">
        <v>13</v>
      </c>
      <c r="E107" s="1" t="s">
        <v>14</v>
      </c>
      <c r="F107" s="1" t="s">
        <v>15</v>
      </c>
    </row>
    <row r="108" spans="1:6" x14ac:dyDescent="0.35">
      <c r="A108" t="str">
        <f t="shared" si="1"/>
        <v>Helesia tetraptera</v>
      </c>
      <c r="B108" s="1" t="s">
        <v>1208</v>
      </c>
      <c r="C108" s="1" t="s">
        <v>566</v>
      </c>
      <c r="D108" s="1" t="s">
        <v>106</v>
      </c>
      <c r="E108" s="1" t="s">
        <v>54</v>
      </c>
      <c r="F108" s="1" t="s">
        <v>15</v>
      </c>
    </row>
    <row r="109" spans="1:6" x14ac:dyDescent="0.35">
      <c r="A109" t="str">
        <f t="shared" si="1"/>
        <v>Hamamelis virginiana</v>
      </c>
      <c r="B109" s="1" t="s">
        <v>570</v>
      </c>
      <c r="C109" s="1" t="s">
        <v>444</v>
      </c>
      <c r="D109" s="1" t="s">
        <v>571</v>
      </c>
      <c r="E109" s="1" t="s">
        <v>188</v>
      </c>
      <c r="F109" s="1" t="s">
        <v>15</v>
      </c>
    </row>
    <row r="110" spans="1:6" x14ac:dyDescent="0.35">
      <c r="A110" t="str">
        <f t="shared" si="1"/>
        <v>Ilex opaca</v>
      </c>
      <c r="B110" s="1" t="s">
        <v>596</v>
      </c>
      <c r="C110" s="1" t="s">
        <v>597</v>
      </c>
      <c r="D110" s="1" t="s">
        <v>598</v>
      </c>
      <c r="E110" s="1" t="s">
        <v>599</v>
      </c>
      <c r="F110" s="1" t="s">
        <v>15</v>
      </c>
    </row>
    <row r="111" spans="1:6" x14ac:dyDescent="0.35">
      <c r="A111" t="str">
        <f t="shared" si="1"/>
        <v>Juglans nigra</v>
      </c>
      <c r="B111" s="1" t="s">
        <v>626</v>
      </c>
      <c r="C111" s="1" t="s">
        <v>627</v>
      </c>
      <c r="D111" s="1" t="s">
        <v>259</v>
      </c>
      <c r="E111" s="1" t="s">
        <v>110</v>
      </c>
      <c r="F111" s="1" t="s">
        <v>15</v>
      </c>
    </row>
    <row r="112" spans="1:6" x14ac:dyDescent="0.35">
      <c r="A112" t="str">
        <f t="shared" si="1"/>
        <v>Koelreuteria paniculata</v>
      </c>
      <c r="B112" s="1" t="s">
        <v>635</v>
      </c>
      <c r="C112" s="1" t="s">
        <v>636</v>
      </c>
      <c r="D112" s="1" t="s">
        <v>21</v>
      </c>
      <c r="E112" s="1" t="s">
        <v>22</v>
      </c>
      <c r="F112" s="1" t="s">
        <v>15</v>
      </c>
    </row>
    <row r="113" spans="1:6" x14ac:dyDescent="0.35">
      <c r="A113" t="str">
        <f t="shared" si="1"/>
        <v>Liquidambar styraciflua</v>
      </c>
      <c r="B113" s="1" t="s">
        <v>683</v>
      </c>
      <c r="C113" s="1" t="s">
        <v>685</v>
      </c>
      <c r="D113" s="1" t="s">
        <v>684</v>
      </c>
      <c r="E113" s="1" t="s">
        <v>188</v>
      </c>
      <c r="F113" s="1" t="s">
        <v>15</v>
      </c>
    </row>
    <row r="114" spans="1:6" x14ac:dyDescent="0.35">
      <c r="A114" t="str">
        <f t="shared" si="1"/>
        <v>Liriodendron tulipifera</v>
      </c>
      <c r="B114" s="1" t="s">
        <v>686</v>
      </c>
      <c r="C114" s="1" t="s">
        <v>688</v>
      </c>
      <c r="D114" s="1" t="s">
        <v>687</v>
      </c>
      <c r="E114" s="1" t="s">
        <v>170</v>
      </c>
      <c r="F114" s="1" t="s">
        <v>15</v>
      </c>
    </row>
    <row r="115" spans="1:6" x14ac:dyDescent="0.35">
      <c r="A115" t="str">
        <f t="shared" si="1"/>
        <v>Magnolia acuminata</v>
      </c>
      <c r="B115" s="1" t="s">
        <v>724</v>
      </c>
      <c r="C115" s="1" t="s">
        <v>725</v>
      </c>
      <c r="D115" s="1" t="s">
        <v>687</v>
      </c>
      <c r="E115" s="1" t="s">
        <v>170</v>
      </c>
      <c r="F115" s="1" t="s">
        <v>15</v>
      </c>
    </row>
    <row r="116" spans="1:6" x14ac:dyDescent="0.35">
      <c r="A116" t="str">
        <f t="shared" si="1"/>
        <v>Magnolia denudata</v>
      </c>
      <c r="B116" s="1" t="s">
        <v>724</v>
      </c>
      <c r="C116" s="1" t="s">
        <v>733</v>
      </c>
      <c r="D116" s="1" t="s">
        <v>687</v>
      </c>
      <c r="E116" s="1" t="s">
        <v>170</v>
      </c>
      <c r="F116" s="1" t="s">
        <v>15</v>
      </c>
    </row>
    <row r="117" spans="1:6" x14ac:dyDescent="0.35">
      <c r="A117" t="str">
        <f t="shared" si="1"/>
        <v>Magnolia kobus</v>
      </c>
      <c r="B117" s="1" t="s">
        <v>724</v>
      </c>
      <c r="C117" s="1" t="s">
        <v>736</v>
      </c>
      <c r="D117" s="1" t="s">
        <v>687</v>
      </c>
      <c r="E117" s="1" t="s">
        <v>170</v>
      </c>
      <c r="F117" s="1" t="s">
        <v>15</v>
      </c>
    </row>
    <row r="118" spans="1:6" x14ac:dyDescent="0.35">
      <c r="A118" t="str">
        <f t="shared" si="1"/>
        <v>Magnolia stellata</v>
      </c>
      <c r="B118" s="1" t="s">
        <v>724</v>
      </c>
      <c r="C118" s="1" t="s">
        <v>742</v>
      </c>
      <c r="D118" s="1" t="s">
        <v>687</v>
      </c>
      <c r="E118" s="1" t="s">
        <v>170</v>
      </c>
      <c r="F118" s="1" t="s">
        <v>15</v>
      </c>
    </row>
    <row r="119" spans="1:6" x14ac:dyDescent="0.35">
      <c r="A119" t="str">
        <f t="shared" si="1"/>
        <v>Magnolia tripetala</v>
      </c>
      <c r="B119" s="1" t="s">
        <v>724</v>
      </c>
      <c r="C119" s="1" t="s">
        <v>743</v>
      </c>
      <c r="D119" s="1" t="s">
        <v>687</v>
      </c>
      <c r="E119" s="1" t="s">
        <v>170</v>
      </c>
      <c r="F119" s="1" t="s">
        <v>15</v>
      </c>
    </row>
    <row r="120" spans="1:6" x14ac:dyDescent="0.35">
      <c r="A120" t="str">
        <f t="shared" si="1"/>
        <v>Nyssa sylvatica</v>
      </c>
      <c r="B120" s="1" t="s">
        <v>835</v>
      </c>
      <c r="C120" s="1" t="s">
        <v>519</v>
      </c>
      <c r="D120" s="1" t="s">
        <v>836</v>
      </c>
      <c r="E120" s="1" t="s">
        <v>88</v>
      </c>
      <c r="F120" s="1" t="s">
        <v>15</v>
      </c>
    </row>
    <row r="121" spans="1:6" x14ac:dyDescent="0.35">
      <c r="A121" t="str">
        <f t="shared" si="1"/>
        <v>Platanus occidentalis</v>
      </c>
      <c r="B121" s="1" t="s">
        <v>923</v>
      </c>
      <c r="C121" s="1" t="s">
        <v>924</v>
      </c>
      <c r="D121" s="1" t="s">
        <v>925</v>
      </c>
      <c r="E121" s="1" t="s">
        <v>579</v>
      </c>
      <c r="F121" s="1" t="s">
        <v>15</v>
      </c>
    </row>
    <row r="122" spans="1:6" x14ac:dyDescent="0.35">
      <c r="A122" t="str">
        <f t="shared" si="1"/>
        <v>Populus deltoides</v>
      </c>
      <c r="B122" s="1" t="s">
        <v>938</v>
      </c>
      <c r="C122" s="1" t="s">
        <v>941</v>
      </c>
      <c r="D122" s="1" t="s">
        <v>939</v>
      </c>
      <c r="E122" s="1" t="s">
        <v>92</v>
      </c>
      <c r="F122" s="1" t="s">
        <v>15</v>
      </c>
    </row>
    <row r="123" spans="1:6" x14ac:dyDescent="0.35">
      <c r="A123" t="str">
        <f t="shared" si="1"/>
        <v>Prunus sargentii</v>
      </c>
      <c r="B123" s="1" t="s">
        <v>979</v>
      </c>
      <c r="C123" s="1" t="s">
        <v>983</v>
      </c>
      <c r="D123" s="1" t="s">
        <v>81</v>
      </c>
      <c r="E123" s="1" t="s">
        <v>82</v>
      </c>
      <c r="F123" s="1" t="s">
        <v>15</v>
      </c>
    </row>
    <row r="124" spans="1:6" x14ac:dyDescent="0.35">
      <c r="A124" t="str">
        <f t="shared" si="1"/>
        <v>Sassafras albidum</v>
      </c>
      <c r="B124" s="1" t="s">
        <v>1074</v>
      </c>
      <c r="C124" s="1" t="s">
        <v>1075</v>
      </c>
      <c r="D124" s="1" t="s">
        <v>132</v>
      </c>
      <c r="E124" s="1" t="s">
        <v>133</v>
      </c>
      <c r="F124" s="1" t="s">
        <v>15</v>
      </c>
    </row>
    <row r="125" spans="1:6" x14ac:dyDescent="0.35">
      <c r="A125" t="str">
        <f t="shared" si="1"/>
        <v>Styphnolobium japonicum</v>
      </c>
      <c r="B125" s="1" t="s">
        <v>1118</v>
      </c>
      <c r="C125" s="1" t="s">
        <v>295</v>
      </c>
      <c r="D125" s="1" t="s">
        <v>13</v>
      </c>
      <c r="E125" s="1" t="s">
        <v>14</v>
      </c>
      <c r="F125" s="1" t="s">
        <v>15</v>
      </c>
    </row>
    <row r="126" spans="1:6" x14ac:dyDescent="0.35">
      <c r="A126" t="str">
        <f t="shared" si="1"/>
        <v>Syringa reticulata</v>
      </c>
      <c r="B126" s="1" t="s">
        <v>1121</v>
      </c>
      <c r="C126" s="1" t="s">
        <v>1122</v>
      </c>
      <c r="D126" s="1" t="s">
        <v>309</v>
      </c>
      <c r="E126" s="1" t="s">
        <v>277</v>
      </c>
      <c r="F126" s="1" t="s">
        <v>15</v>
      </c>
    </row>
    <row r="127" spans="1:6" x14ac:dyDescent="0.35">
      <c r="A127" t="str">
        <f t="shared" si="1"/>
        <v>Syringa reticulata</v>
      </c>
      <c r="B127" s="1" t="s">
        <v>1121</v>
      </c>
      <c r="C127" s="1" t="s">
        <v>1122</v>
      </c>
      <c r="D127" s="1" t="s">
        <v>309</v>
      </c>
      <c r="E127" s="1" t="s">
        <v>277</v>
      </c>
      <c r="F127" s="1" t="s">
        <v>17</v>
      </c>
    </row>
    <row r="128" spans="1:6" x14ac:dyDescent="0.35">
      <c r="A128" t="str">
        <f t="shared" si="1"/>
        <v>Ulmus americana</v>
      </c>
      <c r="B128" s="1" t="s">
        <v>1167</v>
      </c>
      <c r="C128" s="1" t="s">
        <v>533</v>
      </c>
      <c r="D128" s="1" t="s">
        <v>1168</v>
      </c>
      <c r="E128" s="1" t="s">
        <v>82</v>
      </c>
      <c r="F128" s="1" t="s">
        <v>15</v>
      </c>
    </row>
    <row r="129" spans="1:6" x14ac:dyDescent="0.35">
      <c r="A129" t="str">
        <f t="shared" si="1"/>
        <v>Acer fabri</v>
      </c>
      <c r="B129" s="1" t="s">
        <v>19</v>
      </c>
      <c r="C129" s="1" t="s">
        <v>28</v>
      </c>
      <c r="D129" s="1" t="s">
        <v>21</v>
      </c>
      <c r="E129" s="1" t="s">
        <v>22</v>
      </c>
      <c r="F129" s="1" t="s">
        <v>15</v>
      </c>
    </row>
    <row r="130" spans="1:6" x14ac:dyDescent="0.35">
      <c r="A130" t="str">
        <f t="shared" si="1"/>
        <v>Schima superba</v>
      </c>
      <c r="B130" s="1" t="s">
        <v>1081</v>
      </c>
      <c r="C130" s="1" t="s">
        <v>1082</v>
      </c>
      <c r="D130" s="1" t="s">
        <v>935</v>
      </c>
      <c r="E130" s="1" t="s">
        <v>54</v>
      </c>
      <c r="F130" s="1" t="s">
        <v>15</v>
      </c>
    </row>
    <row r="131" spans="1:6" x14ac:dyDescent="0.35">
      <c r="A131" t="str">
        <f t="shared" ref="A131:A194" si="2">_xlfn.CONCAT($B131, " ", $C131)</f>
        <v>Choerospondias axillaris</v>
      </c>
      <c r="B131" s="1" t="s">
        <v>310</v>
      </c>
      <c r="C131" s="1" t="s">
        <v>311</v>
      </c>
      <c r="D131" s="1" t="s">
        <v>312</v>
      </c>
      <c r="E131" s="1" t="s">
        <v>22</v>
      </c>
      <c r="F131" s="1" t="s">
        <v>15</v>
      </c>
    </row>
    <row r="132" spans="1:6" x14ac:dyDescent="0.35">
      <c r="A132" t="str">
        <f t="shared" si="2"/>
        <v>Acer coriaceifolium</v>
      </c>
      <c r="B132" s="1" t="s">
        <v>19</v>
      </c>
      <c r="C132" s="1" t="s">
        <v>26</v>
      </c>
      <c r="D132" s="1" t="s">
        <v>21</v>
      </c>
      <c r="E132" s="1" t="s">
        <v>22</v>
      </c>
      <c r="F132" s="1" t="s">
        <v>15</v>
      </c>
    </row>
    <row r="133" spans="1:6" x14ac:dyDescent="0.35">
      <c r="A133" t="str">
        <f t="shared" si="2"/>
        <v>Liquidambar formosana</v>
      </c>
      <c r="B133" s="1" t="s">
        <v>683</v>
      </c>
      <c r="C133" s="1" t="s">
        <v>577</v>
      </c>
      <c r="D133" s="1" t="s">
        <v>684</v>
      </c>
      <c r="E133" s="1" t="s">
        <v>188</v>
      </c>
      <c r="F133" s="1" t="s">
        <v>15</v>
      </c>
    </row>
    <row r="134" spans="1:6" x14ac:dyDescent="0.35">
      <c r="A134" t="str">
        <f t="shared" si="2"/>
        <v>Elaeocarpus glabripetalus</v>
      </c>
      <c r="B134" s="1" t="s">
        <v>455</v>
      </c>
      <c r="C134" s="1" t="s">
        <v>458</v>
      </c>
      <c r="D134" s="1" t="s">
        <v>156</v>
      </c>
      <c r="E134" s="1" t="s">
        <v>42</v>
      </c>
      <c r="F134" s="1" t="s">
        <v>15</v>
      </c>
    </row>
    <row r="135" spans="1:6" x14ac:dyDescent="0.35">
      <c r="A135" t="str">
        <f t="shared" si="2"/>
        <v>Alniphyllum fortunei</v>
      </c>
      <c r="B135" s="1" t="s">
        <v>104</v>
      </c>
      <c r="C135" s="1" t="s">
        <v>105</v>
      </c>
      <c r="D135" s="1" t="s">
        <v>106</v>
      </c>
      <c r="E135" s="1" t="s">
        <v>54</v>
      </c>
      <c r="F135" s="1" t="s">
        <v>15</v>
      </c>
    </row>
    <row r="136" spans="1:6" x14ac:dyDescent="0.35">
      <c r="A136" t="str">
        <f t="shared" si="2"/>
        <v>Cinnamomum parthenoxylon</v>
      </c>
      <c r="B136" s="1" t="s">
        <v>327</v>
      </c>
      <c r="C136" s="1" t="s">
        <v>332</v>
      </c>
      <c r="D136" s="1" t="s">
        <v>132</v>
      </c>
      <c r="E136" s="1" t="s">
        <v>133</v>
      </c>
      <c r="F136" s="1" t="s">
        <v>15</v>
      </c>
    </row>
    <row r="137" spans="1:6" x14ac:dyDescent="0.35">
      <c r="A137" t="str">
        <f t="shared" si="2"/>
        <v>Cinnamomum austro-sinensis</v>
      </c>
      <c r="B137" s="1" t="s">
        <v>327</v>
      </c>
      <c r="C137" s="1" t="s">
        <v>328</v>
      </c>
      <c r="D137" s="1" t="s">
        <v>132</v>
      </c>
      <c r="E137" s="1" t="s">
        <v>133</v>
      </c>
      <c r="F137" s="1" t="s">
        <v>15</v>
      </c>
    </row>
    <row r="138" spans="1:6" x14ac:dyDescent="0.35">
      <c r="A138" t="str">
        <f t="shared" si="2"/>
        <v>Machilus oculodracontis</v>
      </c>
      <c r="B138" s="1" t="s">
        <v>712</v>
      </c>
      <c r="C138" s="1" t="s">
        <v>716</v>
      </c>
      <c r="D138" s="1" t="s">
        <v>132</v>
      </c>
      <c r="E138" s="1" t="s">
        <v>133</v>
      </c>
      <c r="F138" s="1" t="s">
        <v>15</v>
      </c>
    </row>
    <row r="139" spans="1:6" x14ac:dyDescent="0.35">
      <c r="A139" t="str">
        <f t="shared" si="2"/>
        <v>Magnolia yuyuanensis</v>
      </c>
      <c r="B139" s="1" t="s">
        <v>724</v>
      </c>
      <c r="C139" s="1" t="s">
        <v>744</v>
      </c>
      <c r="D139" s="1" t="s">
        <v>687</v>
      </c>
      <c r="E139" s="1" t="s">
        <v>170</v>
      </c>
      <c r="F139" s="1" t="s">
        <v>15</v>
      </c>
    </row>
    <row r="140" spans="1:6" x14ac:dyDescent="0.35">
      <c r="A140" t="str">
        <f t="shared" si="2"/>
        <v>Neolitsea phanerophlebia</v>
      </c>
      <c r="B140" s="1" t="s">
        <v>818</v>
      </c>
      <c r="C140" s="1" t="s">
        <v>820</v>
      </c>
      <c r="D140" s="1" t="s">
        <v>132</v>
      </c>
      <c r="E140" s="1" t="s">
        <v>133</v>
      </c>
      <c r="F140" s="1" t="s">
        <v>15</v>
      </c>
    </row>
    <row r="141" spans="1:6" x14ac:dyDescent="0.35">
      <c r="A141" t="str">
        <f t="shared" si="2"/>
        <v>Cunninghamia lanceolata</v>
      </c>
      <c r="B141" s="1" t="s">
        <v>393</v>
      </c>
      <c r="C141" s="1" t="s">
        <v>394</v>
      </c>
      <c r="D141" s="1" t="s">
        <v>235</v>
      </c>
      <c r="E141" s="1" t="s">
        <v>236</v>
      </c>
      <c r="F141" s="1" t="s">
        <v>15</v>
      </c>
    </row>
    <row r="142" spans="1:6" x14ac:dyDescent="0.35">
      <c r="A142" t="str">
        <f t="shared" si="2"/>
        <v>Taxus chinensis</v>
      </c>
      <c r="B142" s="1" t="s">
        <v>1140</v>
      </c>
      <c r="C142" s="1" t="s">
        <v>390</v>
      </c>
      <c r="D142" s="1" t="s">
        <v>1141</v>
      </c>
      <c r="E142" s="1" t="s">
        <v>236</v>
      </c>
      <c r="F142" s="1" t="s">
        <v>15</v>
      </c>
    </row>
    <row r="143" spans="1:6" x14ac:dyDescent="0.35">
      <c r="A143" t="str">
        <f t="shared" si="2"/>
        <v>Acer rubrum</v>
      </c>
      <c r="B143" s="1" t="s">
        <v>19</v>
      </c>
      <c r="C143" s="1" t="s">
        <v>33</v>
      </c>
      <c r="D143" s="1" t="s">
        <v>21</v>
      </c>
      <c r="E143" s="1" t="s">
        <v>22</v>
      </c>
      <c r="F143" s="1" t="s">
        <v>15</v>
      </c>
    </row>
    <row r="144" spans="1:6" x14ac:dyDescent="0.35">
      <c r="A144" t="str">
        <f t="shared" si="2"/>
        <v>Magnolia macclurei</v>
      </c>
      <c r="B144" s="1" t="s">
        <v>724</v>
      </c>
      <c r="C144" s="1" t="s">
        <v>738</v>
      </c>
      <c r="D144" s="1" t="s">
        <v>687</v>
      </c>
      <c r="E144" s="1" t="s">
        <v>170</v>
      </c>
      <c r="F144" s="1" t="s">
        <v>15</v>
      </c>
    </row>
    <row r="145" spans="1:6" x14ac:dyDescent="0.35">
      <c r="A145" t="str">
        <f t="shared" si="2"/>
        <v>Magnolia yunnanensis</v>
      </c>
      <c r="B145" s="1" t="s">
        <v>724</v>
      </c>
      <c r="C145" s="1" t="s">
        <v>144</v>
      </c>
      <c r="D145" s="1" t="s">
        <v>687</v>
      </c>
      <c r="E145" s="1" t="s">
        <v>170</v>
      </c>
      <c r="F145" s="1" t="s">
        <v>15</v>
      </c>
    </row>
    <row r="146" spans="1:6" x14ac:dyDescent="0.35">
      <c r="A146" t="str">
        <f t="shared" si="2"/>
        <v>Magnolia lotungensis</v>
      </c>
      <c r="B146" s="1" t="s">
        <v>724</v>
      </c>
      <c r="C146" s="1" t="s">
        <v>737</v>
      </c>
      <c r="D146" s="1" t="s">
        <v>687</v>
      </c>
      <c r="E146" s="1" t="s">
        <v>170</v>
      </c>
      <c r="F146" s="1" t="s">
        <v>15</v>
      </c>
    </row>
    <row r="147" spans="1:6" x14ac:dyDescent="0.35">
      <c r="A147" t="str">
        <f t="shared" si="2"/>
        <v>Magnolia balansae</v>
      </c>
      <c r="B147" s="1" t="s">
        <v>724</v>
      </c>
      <c r="C147" s="1" t="s">
        <v>408</v>
      </c>
      <c r="D147" s="1" t="s">
        <v>687</v>
      </c>
      <c r="E147" s="1" t="s">
        <v>170</v>
      </c>
      <c r="F147" s="1" t="s">
        <v>15</v>
      </c>
    </row>
    <row r="148" spans="1:6" x14ac:dyDescent="0.35">
      <c r="A148" t="str">
        <f t="shared" si="2"/>
        <v>Magnolia fulva</v>
      </c>
      <c r="B148" s="1" t="s">
        <v>724</v>
      </c>
      <c r="C148" s="1" t="s">
        <v>735</v>
      </c>
      <c r="D148" s="1" t="s">
        <v>687</v>
      </c>
      <c r="E148" s="1" t="s">
        <v>170</v>
      </c>
      <c r="F148" s="1" t="s">
        <v>15</v>
      </c>
    </row>
    <row r="149" spans="1:6" x14ac:dyDescent="0.35">
      <c r="A149" t="str">
        <f t="shared" si="2"/>
        <v>Magnolia cavaleriei</v>
      </c>
      <c r="B149" s="1" t="s">
        <v>724</v>
      </c>
      <c r="C149" s="1" t="s">
        <v>728</v>
      </c>
      <c r="D149" s="1" t="s">
        <v>687</v>
      </c>
      <c r="E149" s="1" t="s">
        <v>170</v>
      </c>
      <c r="F149" s="1" t="s">
        <v>15</v>
      </c>
    </row>
    <row r="150" spans="1:6" x14ac:dyDescent="0.35">
      <c r="A150" t="str">
        <f t="shared" si="2"/>
        <v>Manglietia paruicula</v>
      </c>
      <c r="B150" s="1" t="s">
        <v>749</v>
      </c>
      <c r="C150" s="1" t="s">
        <v>750</v>
      </c>
      <c r="D150" s="1" t="s">
        <v>687</v>
      </c>
      <c r="E150" s="1" t="s">
        <v>170</v>
      </c>
      <c r="F150" s="1" t="s">
        <v>15</v>
      </c>
    </row>
    <row r="151" spans="1:6" x14ac:dyDescent="0.35">
      <c r="A151" t="str">
        <f t="shared" si="2"/>
        <v>Magnolia champaca</v>
      </c>
      <c r="B151" s="1" t="s">
        <v>724</v>
      </c>
      <c r="C151" s="1" t="s">
        <v>729</v>
      </c>
      <c r="D151" s="1" t="s">
        <v>687</v>
      </c>
      <c r="E151" s="1" t="s">
        <v>170</v>
      </c>
      <c r="F151" s="1" t="s">
        <v>15</v>
      </c>
    </row>
    <row r="152" spans="1:6" x14ac:dyDescent="0.35">
      <c r="A152" t="str">
        <f t="shared" si="2"/>
        <v>Magnolia opipara</v>
      </c>
      <c r="B152" s="1" t="s">
        <v>724</v>
      </c>
      <c r="C152" s="1" t="s">
        <v>741</v>
      </c>
      <c r="D152" s="1" t="s">
        <v>687</v>
      </c>
      <c r="E152" s="1" t="s">
        <v>170</v>
      </c>
      <c r="F152" s="1" t="s">
        <v>15</v>
      </c>
    </row>
    <row r="153" spans="1:6" x14ac:dyDescent="0.35">
      <c r="A153" t="str">
        <f t="shared" si="2"/>
        <v>Magnolia maudiae</v>
      </c>
      <c r="B153" s="1" t="s">
        <v>724</v>
      </c>
      <c r="C153" s="1" t="s">
        <v>739</v>
      </c>
      <c r="D153" s="1" t="s">
        <v>687</v>
      </c>
      <c r="E153" s="1" t="s">
        <v>170</v>
      </c>
      <c r="F153" s="1" t="s">
        <v>15</v>
      </c>
    </row>
    <row r="154" spans="1:6" x14ac:dyDescent="0.35">
      <c r="A154" t="str">
        <f t="shared" si="2"/>
        <v>Liriodendron chinense</v>
      </c>
      <c r="B154" s="1" t="s">
        <v>686</v>
      </c>
      <c r="C154" s="1" t="s">
        <v>86</v>
      </c>
      <c r="D154" s="1" t="s">
        <v>687</v>
      </c>
      <c r="E154" s="1" t="s">
        <v>170</v>
      </c>
      <c r="F154" s="1" t="s">
        <v>15</v>
      </c>
    </row>
    <row r="155" spans="1:6" x14ac:dyDescent="0.35">
      <c r="A155" t="str">
        <f t="shared" si="2"/>
        <v>Magnolia ernestii</v>
      </c>
      <c r="B155" s="1" t="s">
        <v>724</v>
      </c>
      <c r="C155" s="1" t="s">
        <v>734</v>
      </c>
      <c r="D155" s="1" t="s">
        <v>687</v>
      </c>
      <c r="E155" s="1" t="s">
        <v>170</v>
      </c>
      <c r="F155" s="1" t="s">
        <v>15</v>
      </c>
    </row>
    <row r="156" spans="1:6" x14ac:dyDescent="0.35">
      <c r="A156" t="str">
        <f t="shared" si="2"/>
        <v>Magnolia grandiflora</v>
      </c>
      <c r="B156" s="1" t="s">
        <v>724</v>
      </c>
      <c r="C156" s="1" t="s">
        <v>424</v>
      </c>
      <c r="D156" s="1" t="s">
        <v>687</v>
      </c>
      <c r="E156" s="1" t="s">
        <v>170</v>
      </c>
      <c r="F156" s="1" t="s">
        <v>15</v>
      </c>
    </row>
    <row r="157" spans="1:6" x14ac:dyDescent="0.35">
      <c r="A157" t="str">
        <f t="shared" si="2"/>
        <v>Magnolia baillonii</v>
      </c>
      <c r="B157" s="1" t="s">
        <v>724</v>
      </c>
      <c r="C157" s="1" t="s">
        <v>726</v>
      </c>
      <c r="D157" s="1" t="s">
        <v>687</v>
      </c>
      <c r="E157" s="1" t="s">
        <v>170</v>
      </c>
      <c r="F157" s="1" t="s">
        <v>15</v>
      </c>
    </row>
    <row r="158" spans="1:6" x14ac:dyDescent="0.35">
      <c r="A158" t="str">
        <f t="shared" si="2"/>
        <v>Magnolia dandyi</v>
      </c>
      <c r="B158" s="1" t="s">
        <v>724</v>
      </c>
      <c r="C158" s="1" t="s">
        <v>732</v>
      </c>
      <c r="D158" s="1" t="s">
        <v>687</v>
      </c>
      <c r="E158" s="1" t="s">
        <v>170</v>
      </c>
      <c r="F158" s="1" t="s">
        <v>15</v>
      </c>
    </row>
    <row r="159" spans="1:6" x14ac:dyDescent="0.35">
      <c r="A159" t="str">
        <f t="shared" si="2"/>
        <v>Magnolia chapensis</v>
      </c>
      <c r="B159" s="1" t="s">
        <v>724</v>
      </c>
      <c r="C159" s="1" t="s">
        <v>731</v>
      </c>
      <c r="D159" s="1" t="s">
        <v>687</v>
      </c>
      <c r="E159" s="1" t="s">
        <v>170</v>
      </c>
      <c r="F159" s="1" t="s">
        <v>15</v>
      </c>
    </row>
    <row r="160" spans="1:6" x14ac:dyDescent="0.35">
      <c r="A160" t="str">
        <f t="shared" si="2"/>
        <v>Cryptocarya chinensis</v>
      </c>
      <c r="B160" s="1" t="s">
        <v>389</v>
      </c>
      <c r="C160" s="1" t="s">
        <v>390</v>
      </c>
      <c r="D160" s="1" t="s">
        <v>132</v>
      </c>
      <c r="E160" s="1" t="s">
        <v>133</v>
      </c>
      <c r="F160" s="1" t="s">
        <v>15</v>
      </c>
    </row>
    <row r="161" spans="1:6" x14ac:dyDescent="0.35">
      <c r="A161" t="str">
        <f t="shared" si="2"/>
        <v>Machilus velutina</v>
      </c>
      <c r="B161" s="1" t="s">
        <v>712</v>
      </c>
      <c r="C161" s="1" t="s">
        <v>719</v>
      </c>
      <c r="D161" s="1" t="s">
        <v>132</v>
      </c>
      <c r="E161" s="1" t="s">
        <v>133</v>
      </c>
      <c r="F161" s="1" t="s">
        <v>15</v>
      </c>
    </row>
    <row r="162" spans="1:6" x14ac:dyDescent="0.35">
      <c r="A162" t="str">
        <f t="shared" si="2"/>
        <v>Machilus kwangtungensis</v>
      </c>
      <c r="B162" s="1" t="s">
        <v>712</v>
      </c>
      <c r="C162" s="1" t="s">
        <v>714</v>
      </c>
      <c r="D162" s="1" t="s">
        <v>132</v>
      </c>
      <c r="E162" s="1" t="s">
        <v>133</v>
      </c>
      <c r="F162" s="1" t="s">
        <v>15</v>
      </c>
    </row>
    <row r="163" spans="1:6" x14ac:dyDescent="0.35">
      <c r="A163" t="str">
        <f t="shared" si="2"/>
        <v>Litsea cubeba</v>
      </c>
      <c r="B163" s="1" t="s">
        <v>697</v>
      </c>
      <c r="C163" s="1" t="s">
        <v>699</v>
      </c>
      <c r="D163" s="1" t="s">
        <v>132</v>
      </c>
      <c r="E163" s="1" t="s">
        <v>133</v>
      </c>
      <c r="F163" s="1" t="s">
        <v>15</v>
      </c>
    </row>
    <row r="164" spans="1:6" x14ac:dyDescent="0.35">
      <c r="A164" t="str">
        <f t="shared" si="2"/>
        <v>Cinnamomum camphora</v>
      </c>
      <c r="B164" s="1" t="s">
        <v>327</v>
      </c>
      <c r="C164" s="1" t="s">
        <v>329</v>
      </c>
      <c r="D164" s="1" t="s">
        <v>132</v>
      </c>
      <c r="E164" s="1" t="s">
        <v>133</v>
      </c>
      <c r="F164" s="1" t="s">
        <v>15</v>
      </c>
    </row>
    <row r="165" spans="1:6" x14ac:dyDescent="0.35">
      <c r="A165" t="str">
        <f t="shared" si="2"/>
        <v>Litsea verticillata</v>
      </c>
      <c r="B165" s="1" t="s">
        <v>697</v>
      </c>
      <c r="C165" s="1" t="s">
        <v>702</v>
      </c>
      <c r="D165" s="1" t="s">
        <v>132</v>
      </c>
      <c r="E165" s="1" t="s">
        <v>133</v>
      </c>
      <c r="F165" s="1" t="s">
        <v>15</v>
      </c>
    </row>
    <row r="166" spans="1:6" x14ac:dyDescent="0.35">
      <c r="A166" t="str">
        <f t="shared" si="2"/>
        <v>Cryptocarya concinna</v>
      </c>
      <c r="B166" s="1" t="s">
        <v>389</v>
      </c>
      <c r="C166" s="1" t="s">
        <v>391</v>
      </c>
      <c r="D166" s="1" t="s">
        <v>132</v>
      </c>
      <c r="E166" s="1" t="s">
        <v>133</v>
      </c>
      <c r="F166" s="1" t="s">
        <v>15</v>
      </c>
    </row>
    <row r="167" spans="1:6" x14ac:dyDescent="0.35">
      <c r="A167" t="str">
        <f t="shared" si="2"/>
        <v>Machilus robusta</v>
      </c>
      <c r="B167" s="1" t="s">
        <v>712</v>
      </c>
      <c r="C167" s="1" t="s">
        <v>717</v>
      </c>
      <c r="D167" s="1" t="s">
        <v>132</v>
      </c>
      <c r="E167" s="1" t="s">
        <v>133</v>
      </c>
      <c r="F167" s="1" t="s">
        <v>15</v>
      </c>
    </row>
    <row r="168" spans="1:6" x14ac:dyDescent="0.35">
      <c r="A168" t="str">
        <f t="shared" si="2"/>
        <v>Neolitsea cassia</v>
      </c>
      <c r="B168" s="1" t="s">
        <v>818</v>
      </c>
      <c r="C168" s="1" t="s">
        <v>819</v>
      </c>
      <c r="D168" s="1" t="s">
        <v>132</v>
      </c>
      <c r="E168" s="1" t="s">
        <v>133</v>
      </c>
      <c r="F168" s="1" t="s">
        <v>15</v>
      </c>
    </row>
    <row r="169" spans="1:6" x14ac:dyDescent="0.35">
      <c r="A169" t="str">
        <f t="shared" si="2"/>
        <v>Litsea baviensis</v>
      </c>
      <c r="B169" s="1" t="s">
        <v>697</v>
      </c>
      <c r="C169" s="1" t="s">
        <v>698</v>
      </c>
      <c r="D169" s="1" t="s">
        <v>132</v>
      </c>
      <c r="E169" s="1" t="s">
        <v>133</v>
      </c>
      <c r="F169" s="1" t="s">
        <v>15</v>
      </c>
    </row>
    <row r="170" spans="1:6" x14ac:dyDescent="0.35">
      <c r="A170" t="str">
        <f t="shared" si="2"/>
        <v>Ocotea lancifolia</v>
      </c>
      <c r="B170" s="1" t="s">
        <v>837</v>
      </c>
      <c r="C170" s="1" t="s">
        <v>844</v>
      </c>
      <c r="D170" s="1" t="s">
        <v>132</v>
      </c>
      <c r="E170" s="1" t="s">
        <v>133</v>
      </c>
      <c r="F170" s="1" t="s">
        <v>15</v>
      </c>
    </row>
    <row r="171" spans="1:6" x14ac:dyDescent="0.35">
      <c r="A171" t="str">
        <f t="shared" si="2"/>
        <v>Orophea creaghii</v>
      </c>
      <c r="B171" s="1" t="s">
        <v>856</v>
      </c>
      <c r="C171" s="1" t="s">
        <v>857</v>
      </c>
      <c r="D171" s="1" t="s">
        <v>169</v>
      </c>
      <c r="E171" s="1" t="s">
        <v>170</v>
      </c>
      <c r="F171" s="1" t="s">
        <v>15</v>
      </c>
    </row>
    <row r="172" spans="1:6" x14ac:dyDescent="0.35">
      <c r="A172" t="str">
        <f t="shared" si="2"/>
        <v>Helicia formosana</v>
      </c>
      <c r="B172" s="1" t="s">
        <v>576</v>
      </c>
      <c r="C172" s="1" t="s">
        <v>577</v>
      </c>
      <c r="D172" s="1" t="s">
        <v>578</v>
      </c>
      <c r="E172" s="1" t="s">
        <v>579</v>
      </c>
      <c r="F172" s="1" t="s">
        <v>15</v>
      </c>
    </row>
    <row r="173" spans="1:6" x14ac:dyDescent="0.35">
      <c r="A173" t="str">
        <f t="shared" si="2"/>
        <v>Syzygium hancei</v>
      </c>
      <c r="B173" s="1" t="s">
        <v>1123</v>
      </c>
      <c r="C173" s="1" t="s">
        <v>1128</v>
      </c>
      <c r="D173" s="1" t="s">
        <v>222</v>
      </c>
      <c r="E173" s="1" t="s">
        <v>213</v>
      </c>
      <c r="F173" s="1" t="s">
        <v>15</v>
      </c>
    </row>
    <row r="174" spans="1:6" x14ac:dyDescent="0.35">
      <c r="A174" t="str">
        <f t="shared" si="2"/>
        <v>Syzygium levinei</v>
      </c>
      <c r="B174" s="1" t="s">
        <v>1123</v>
      </c>
      <c r="C174" s="1" t="s">
        <v>1131</v>
      </c>
      <c r="D174" s="1" t="s">
        <v>222</v>
      </c>
      <c r="E174" s="1" t="s">
        <v>213</v>
      </c>
      <c r="F174" s="1" t="s">
        <v>15</v>
      </c>
    </row>
    <row r="175" spans="1:6" x14ac:dyDescent="0.35">
      <c r="A175" t="str">
        <f t="shared" si="2"/>
        <v>Eucalyptus urophylla</v>
      </c>
      <c r="B175" s="1" t="s">
        <v>495</v>
      </c>
      <c r="C175" s="1" t="s">
        <v>496</v>
      </c>
      <c r="D175" s="1" t="s">
        <v>222</v>
      </c>
      <c r="E175" s="1" t="s">
        <v>213</v>
      </c>
      <c r="F175" s="1" t="s">
        <v>17</v>
      </c>
    </row>
    <row r="176" spans="1:6" x14ac:dyDescent="0.35">
      <c r="A176" t="str">
        <f t="shared" si="2"/>
        <v>Syzygium globiflorum</v>
      </c>
      <c r="B176" s="1" t="s">
        <v>1123</v>
      </c>
      <c r="C176" s="1" t="s">
        <v>1127</v>
      </c>
      <c r="D176" s="1" t="s">
        <v>222</v>
      </c>
      <c r="E176" s="1" t="s">
        <v>213</v>
      </c>
      <c r="F176" s="1" t="s">
        <v>15</v>
      </c>
    </row>
    <row r="177" spans="1:6" x14ac:dyDescent="0.35">
      <c r="A177" t="str">
        <f t="shared" si="2"/>
        <v>Microtropis discolor</v>
      </c>
      <c r="B177" s="1" t="s">
        <v>784</v>
      </c>
      <c r="C177" s="1" t="s">
        <v>704</v>
      </c>
      <c r="D177" s="1" t="s">
        <v>511</v>
      </c>
      <c r="E177" s="1" t="s">
        <v>512</v>
      </c>
      <c r="F177" s="1" t="s">
        <v>15</v>
      </c>
    </row>
    <row r="178" spans="1:6" x14ac:dyDescent="0.35">
      <c r="A178" t="str">
        <f t="shared" si="2"/>
        <v>Castanea henryi</v>
      </c>
      <c r="B178" s="1" t="s">
        <v>263</v>
      </c>
      <c r="C178" s="1" t="s">
        <v>264</v>
      </c>
      <c r="D178" s="1" t="s">
        <v>265</v>
      </c>
      <c r="E178" s="1" t="s">
        <v>110</v>
      </c>
      <c r="F178" s="1" t="s">
        <v>9</v>
      </c>
    </row>
    <row r="179" spans="1:6" x14ac:dyDescent="0.35">
      <c r="A179" t="str">
        <f t="shared" si="2"/>
        <v>Castanopsis fissa</v>
      </c>
      <c r="B179" s="1" t="s">
        <v>266</v>
      </c>
      <c r="C179" s="1" t="s">
        <v>271</v>
      </c>
      <c r="D179" s="1" t="s">
        <v>265</v>
      </c>
      <c r="E179" s="1" t="s">
        <v>110</v>
      </c>
      <c r="F179" s="1" t="s">
        <v>9</v>
      </c>
    </row>
    <row r="180" spans="1:6" x14ac:dyDescent="0.35">
      <c r="A180" t="str">
        <f t="shared" si="2"/>
        <v>Quercus asymmetrica</v>
      </c>
      <c r="B180" s="1" t="s">
        <v>1012</v>
      </c>
      <c r="C180" s="1" t="s">
        <v>1014</v>
      </c>
      <c r="D180" s="1" t="s">
        <v>265</v>
      </c>
      <c r="E180" s="1" t="s">
        <v>110</v>
      </c>
      <c r="F180" s="1" t="s">
        <v>9</v>
      </c>
    </row>
    <row r="181" spans="1:6" x14ac:dyDescent="0.35">
      <c r="A181" t="str">
        <f t="shared" si="2"/>
        <v>Castanopsis hystrix</v>
      </c>
      <c r="B181" s="1" t="s">
        <v>266</v>
      </c>
      <c r="C181" s="1" t="s">
        <v>272</v>
      </c>
      <c r="D181" s="1" t="s">
        <v>265</v>
      </c>
      <c r="E181" s="1" t="s">
        <v>110</v>
      </c>
      <c r="F181" s="1" t="s">
        <v>9</v>
      </c>
    </row>
    <row r="182" spans="1:6" x14ac:dyDescent="0.35">
      <c r="A182" t="str">
        <f t="shared" si="2"/>
        <v>Castanopsis echinocarpa</v>
      </c>
      <c r="B182" s="1" t="s">
        <v>266</v>
      </c>
      <c r="C182" s="1" t="s">
        <v>268</v>
      </c>
      <c r="D182" s="1" t="s">
        <v>265</v>
      </c>
      <c r="E182" s="1" t="s">
        <v>110</v>
      </c>
      <c r="F182" s="1" t="s">
        <v>9</v>
      </c>
    </row>
    <row r="183" spans="1:6" x14ac:dyDescent="0.35">
      <c r="A183" t="str">
        <f t="shared" si="2"/>
        <v>Castanopsis wattii</v>
      </c>
      <c r="B183" s="1" t="s">
        <v>266</v>
      </c>
      <c r="C183" s="1" t="s">
        <v>273</v>
      </c>
      <c r="D183" s="1" t="s">
        <v>265</v>
      </c>
      <c r="E183" s="1" t="s">
        <v>110</v>
      </c>
      <c r="F183" s="1" t="s">
        <v>9</v>
      </c>
    </row>
    <row r="184" spans="1:6" x14ac:dyDescent="0.35">
      <c r="A184" t="str">
        <f t="shared" si="2"/>
        <v>Lithocarpus chiungchungensis</v>
      </c>
      <c r="B184" s="1" t="s">
        <v>689</v>
      </c>
      <c r="C184" s="1" t="s">
        <v>690</v>
      </c>
      <c r="D184" s="1" t="s">
        <v>265</v>
      </c>
      <c r="E184" s="1" t="s">
        <v>110</v>
      </c>
      <c r="F184" s="1" t="s">
        <v>9</v>
      </c>
    </row>
    <row r="185" spans="1:6" x14ac:dyDescent="0.35">
      <c r="A185" t="str">
        <f t="shared" si="2"/>
        <v>Aporosa octandra</v>
      </c>
      <c r="B185" s="1" t="s">
        <v>142</v>
      </c>
      <c r="C185" s="1" t="s">
        <v>143</v>
      </c>
      <c r="D185" s="1" t="s">
        <v>138</v>
      </c>
      <c r="E185" s="1" t="s">
        <v>92</v>
      </c>
      <c r="F185" s="1" t="s">
        <v>15</v>
      </c>
    </row>
    <row r="186" spans="1:6" x14ac:dyDescent="0.35">
      <c r="A186" t="str">
        <f t="shared" si="2"/>
        <v>Macaranga sampsonii</v>
      </c>
      <c r="B186" s="1" t="s">
        <v>710</v>
      </c>
      <c r="C186" s="1" t="s">
        <v>711</v>
      </c>
      <c r="D186" s="1" t="s">
        <v>91</v>
      </c>
      <c r="E186" s="1" t="s">
        <v>92</v>
      </c>
      <c r="F186" s="1" t="s">
        <v>15</v>
      </c>
    </row>
    <row r="187" spans="1:6" x14ac:dyDescent="0.35">
      <c r="A187" t="str">
        <f t="shared" si="2"/>
        <v>Aporosa yunnanensis</v>
      </c>
      <c r="B187" s="1" t="s">
        <v>142</v>
      </c>
      <c r="C187" s="1" t="s">
        <v>144</v>
      </c>
      <c r="D187" s="1" t="s">
        <v>138</v>
      </c>
      <c r="E187" s="1" t="s">
        <v>92</v>
      </c>
      <c r="F187" s="1" t="s">
        <v>15</v>
      </c>
    </row>
    <row r="188" spans="1:6" x14ac:dyDescent="0.35">
      <c r="A188" t="str">
        <f t="shared" si="2"/>
        <v>Antidesma maclurei</v>
      </c>
      <c r="B188" s="1" t="s">
        <v>136</v>
      </c>
      <c r="C188" s="1" t="s">
        <v>137</v>
      </c>
      <c r="D188" s="1" t="s">
        <v>138</v>
      </c>
      <c r="E188" s="1" t="s">
        <v>92</v>
      </c>
      <c r="F188" s="1" t="s">
        <v>15</v>
      </c>
    </row>
    <row r="189" spans="1:6" x14ac:dyDescent="0.35">
      <c r="A189" t="str">
        <f t="shared" si="2"/>
        <v>Engelhardia roxburghiana</v>
      </c>
      <c r="B189" s="1" t="s">
        <v>474</v>
      </c>
      <c r="C189" s="1" t="s">
        <v>475</v>
      </c>
      <c r="D189" s="1" t="s">
        <v>259</v>
      </c>
      <c r="E189" s="1" t="s">
        <v>110</v>
      </c>
      <c r="F189" s="1" t="s">
        <v>9</v>
      </c>
    </row>
    <row r="190" spans="1:6" x14ac:dyDescent="0.35">
      <c r="A190" t="str">
        <f t="shared" si="2"/>
        <v>Elaeocarpus dubius</v>
      </c>
      <c r="B190" s="1" t="s">
        <v>455</v>
      </c>
      <c r="C190" s="1" t="s">
        <v>457</v>
      </c>
      <c r="D190" s="1" t="s">
        <v>156</v>
      </c>
      <c r="E190" s="1" t="s">
        <v>42</v>
      </c>
      <c r="F190" s="1" t="s">
        <v>15</v>
      </c>
    </row>
    <row r="191" spans="1:6" x14ac:dyDescent="0.35">
      <c r="A191" t="str">
        <f t="shared" si="2"/>
        <v>Ficus variolosa</v>
      </c>
      <c r="B191" s="1" t="s">
        <v>527</v>
      </c>
      <c r="C191" s="1" t="s">
        <v>529</v>
      </c>
      <c r="D191" s="1" t="s">
        <v>162</v>
      </c>
      <c r="E191" s="1" t="s">
        <v>82</v>
      </c>
      <c r="F191" s="1" t="s">
        <v>15</v>
      </c>
    </row>
    <row r="192" spans="1:6" x14ac:dyDescent="0.35">
      <c r="A192" t="str">
        <f t="shared" si="2"/>
        <v>Artocarpus styracifolius</v>
      </c>
      <c r="B192" s="1" t="s">
        <v>160</v>
      </c>
      <c r="C192" s="1" t="s">
        <v>161</v>
      </c>
      <c r="D192" s="1" t="s">
        <v>162</v>
      </c>
      <c r="E192" s="1" t="s">
        <v>82</v>
      </c>
      <c r="F192" s="1" t="s">
        <v>15</v>
      </c>
    </row>
    <row r="193" spans="1:6" x14ac:dyDescent="0.35">
      <c r="A193" t="str">
        <f t="shared" si="2"/>
        <v>Gironniera subaequalis</v>
      </c>
      <c r="B193" s="1" t="s">
        <v>556</v>
      </c>
      <c r="C193" s="1" t="s">
        <v>557</v>
      </c>
      <c r="D193" s="1" t="s">
        <v>289</v>
      </c>
      <c r="E193" s="1" t="s">
        <v>82</v>
      </c>
      <c r="F193" s="1" t="s">
        <v>326</v>
      </c>
    </row>
    <row r="194" spans="1:6" x14ac:dyDescent="0.35">
      <c r="A194" t="str">
        <f t="shared" si="2"/>
        <v>Celtis sinensis</v>
      </c>
      <c r="B194" s="1" t="s">
        <v>288</v>
      </c>
      <c r="C194" s="1" t="s">
        <v>290</v>
      </c>
      <c r="D194" s="1" t="s">
        <v>289</v>
      </c>
      <c r="E194" s="1" t="s">
        <v>82</v>
      </c>
      <c r="F194" s="1" t="s">
        <v>15</v>
      </c>
    </row>
    <row r="195" spans="1:6" x14ac:dyDescent="0.35">
      <c r="A195" t="str">
        <f t="shared" ref="A195:A258" si="3">_xlfn.CONCAT($B195, " ", $C195)</f>
        <v>Canarium album</v>
      </c>
      <c r="B195" s="1" t="s">
        <v>243</v>
      </c>
      <c r="C195" s="1" t="s">
        <v>244</v>
      </c>
      <c r="D195" s="1" t="s">
        <v>245</v>
      </c>
      <c r="E195" s="1" t="s">
        <v>22</v>
      </c>
      <c r="F195" s="1" t="s">
        <v>15</v>
      </c>
    </row>
    <row r="196" spans="1:6" x14ac:dyDescent="0.35">
      <c r="A196" t="str">
        <f t="shared" si="3"/>
        <v>Pistacia chinensis</v>
      </c>
      <c r="B196" s="1" t="s">
        <v>914</v>
      </c>
      <c r="C196" s="1" t="s">
        <v>390</v>
      </c>
      <c r="D196" s="1" t="s">
        <v>312</v>
      </c>
      <c r="E196" s="1" t="s">
        <v>22</v>
      </c>
      <c r="F196" s="1" t="s">
        <v>15</v>
      </c>
    </row>
    <row r="197" spans="1:6" x14ac:dyDescent="0.35">
      <c r="A197" t="str">
        <f t="shared" si="3"/>
        <v>Acronychia pedunculata</v>
      </c>
      <c r="B197" s="1" t="s">
        <v>43</v>
      </c>
      <c r="C197" s="1" t="s">
        <v>44</v>
      </c>
      <c r="D197" s="1" t="s">
        <v>45</v>
      </c>
      <c r="E197" s="1" t="s">
        <v>22</v>
      </c>
      <c r="F197" s="1" t="s">
        <v>15</v>
      </c>
    </row>
    <row r="198" spans="1:6" x14ac:dyDescent="0.35">
      <c r="A198" t="str">
        <f t="shared" si="3"/>
        <v>Melicope pteleifolia</v>
      </c>
      <c r="B198" s="1" t="s">
        <v>758</v>
      </c>
      <c r="C198" s="1" t="s">
        <v>759</v>
      </c>
      <c r="D198" s="1" t="s">
        <v>45</v>
      </c>
      <c r="E198" s="1" t="s">
        <v>22</v>
      </c>
      <c r="F198" s="1" t="s">
        <v>15</v>
      </c>
    </row>
    <row r="199" spans="1:6" x14ac:dyDescent="0.35">
      <c r="A199" t="str">
        <f t="shared" si="3"/>
        <v>Nephelium lappaceum</v>
      </c>
      <c r="B199" s="1" t="s">
        <v>824</v>
      </c>
      <c r="C199" s="1" t="s">
        <v>825</v>
      </c>
      <c r="D199" s="1" t="s">
        <v>21</v>
      </c>
      <c r="E199" s="1" t="s">
        <v>22</v>
      </c>
      <c r="F199" s="1" t="s">
        <v>15</v>
      </c>
    </row>
    <row r="200" spans="1:6" x14ac:dyDescent="0.35">
      <c r="A200" t="str">
        <f t="shared" si="3"/>
        <v>Allophylus cobbe</v>
      </c>
      <c r="B200" s="1" t="s">
        <v>102</v>
      </c>
      <c r="C200" s="1" t="s">
        <v>103</v>
      </c>
      <c r="D200" s="1" t="s">
        <v>21</v>
      </c>
      <c r="E200" s="1" t="s">
        <v>22</v>
      </c>
      <c r="F200" s="1" t="s">
        <v>15</v>
      </c>
    </row>
    <row r="201" spans="1:6" x14ac:dyDescent="0.35">
      <c r="A201" t="str">
        <f t="shared" si="3"/>
        <v>Vaccinium mandarinorum</v>
      </c>
      <c r="B201" s="1" t="s">
        <v>1171</v>
      </c>
      <c r="C201" s="1" t="s">
        <v>1173</v>
      </c>
      <c r="D201" s="1" t="s">
        <v>449</v>
      </c>
      <c r="E201" s="1" t="s">
        <v>54</v>
      </c>
      <c r="F201" s="1" t="s">
        <v>450</v>
      </c>
    </row>
    <row r="202" spans="1:6" x14ac:dyDescent="0.35">
      <c r="A202" t="str">
        <f t="shared" si="3"/>
        <v>Barringtonia racemosa</v>
      </c>
      <c r="B202" s="1" t="s">
        <v>195</v>
      </c>
      <c r="C202" s="1" t="s">
        <v>196</v>
      </c>
      <c r="D202" s="1" t="s">
        <v>101</v>
      </c>
      <c r="E202" s="1" t="s">
        <v>54</v>
      </c>
      <c r="F202" s="1" t="s">
        <v>15</v>
      </c>
    </row>
    <row r="203" spans="1:6" x14ac:dyDescent="0.35">
      <c r="A203" t="str">
        <f t="shared" si="3"/>
        <v>Pentaphylax euryoides</v>
      </c>
      <c r="B203" s="1" t="s">
        <v>887</v>
      </c>
      <c r="C203" s="1" t="s">
        <v>888</v>
      </c>
      <c r="D203" s="1" t="s">
        <v>515</v>
      </c>
      <c r="E203" s="1" t="s">
        <v>54</v>
      </c>
      <c r="F203" s="1" t="s">
        <v>15</v>
      </c>
    </row>
    <row r="204" spans="1:6" x14ac:dyDescent="0.35">
      <c r="A204" t="str">
        <f t="shared" si="3"/>
        <v>Polyspora axillaris</v>
      </c>
      <c r="B204" s="1" t="s">
        <v>934</v>
      </c>
      <c r="C204" s="1" t="s">
        <v>311</v>
      </c>
      <c r="D204" s="1" t="s">
        <v>935</v>
      </c>
      <c r="E204" s="1" t="s">
        <v>54</v>
      </c>
      <c r="F204" s="1" t="s">
        <v>15</v>
      </c>
    </row>
    <row r="205" spans="1:6" x14ac:dyDescent="0.35">
      <c r="A205" t="str">
        <f t="shared" si="3"/>
        <v>Schima wallichii</v>
      </c>
      <c r="B205" s="1" t="s">
        <v>1081</v>
      </c>
      <c r="C205" s="1" t="s">
        <v>1083</v>
      </c>
      <c r="D205" s="1" t="s">
        <v>935</v>
      </c>
      <c r="E205" s="1" t="s">
        <v>54</v>
      </c>
      <c r="F205" s="1" t="s">
        <v>15</v>
      </c>
    </row>
    <row r="206" spans="1:6" x14ac:dyDescent="0.35">
      <c r="A206" t="str">
        <f t="shared" si="3"/>
        <v>Alstonia scholaris</v>
      </c>
      <c r="B206" s="1" t="s">
        <v>122</v>
      </c>
      <c r="C206" s="1" t="s">
        <v>123</v>
      </c>
      <c r="D206" s="1" t="s">
        <v>124</v>
      </c>
      <c r="E206" s="1" t="s">
        <v>66</v>
      </c>
      <c r="F206" s="1" t="s">
        <v>15</v>
      </c>
    </row>
    <row r="207" spans="1:6" x14ac:dyDescent="0.35">
      <c r="A207" t="str">
        <f t="shared" si="3"/>
        <v>Catunaregam spinosa</v>
      </c>
      <c r="B207" s="1" t="s">
        <v>282</v>
      </c>
      <c r="C207" s="1" t="s">
        <v>283</v>
      </c>
      <c r="D207" s="1" t="s">
        <v>65</v>
      </c>
      <c r="E207" s="1" t="s">
        <v>66</v>
      </c>
      <c r="F207" s="1" t="s">
        <v>15</v>
      </c>
    </row>
    <row r="208" spans="1:6" x14ac:dyDescent="0.35">
      <c r="A208" t="str">
        <f t="shared" si="3"/>
        <v>Wendlandia uvariifolia</v>
      </c>
      <c r="B208" s="1" t="s">
        <v>1189</v>
      </c>
      <c r="C208" s="1" t="s">
        <v>1190</v>
      </c>
      <c r="D208" s="1" t="s">
        <v>65</v>
      </c>
      <c r="E208" s="1" t="s">
        <v>66</v>
      </c>
      <c r="F208" s="1" t="s">
        <v>15</v>
      </c>
    </row>
    <row r="209" spans="1:6" x14ac:dyDescent="0.35">
      <c r="A209" t="str">
        <f t="shared" si="3"/>
        <v>Adina metcalfii</v>
      </c>
      <c r="B209" s="1" t="s">
        <v>63</v>
      </c>
      <c r="C209" s="1" t="s">
        <v>64</v>
      </c>
      <c r="D209" s="1" t="s">
        <v>65</v>
      </c>
      <c r="E209" s="1" t="s">
        <v>66</v>
      </c>
      <c r="F209" s="1" t="s">
        <v>15</v>
      </c>
    </row>
    <row r="210" spans="1:6" x14ac:dyDescent="0.35">
      <c r="A210" t="str">
        <f t="shared" si="3"/>
        <v>Psychotria asiatica</v>
      </c>
      <c r="B210" s="1" t="s">
        <v>999</v>
      </c>
      <c r="C210" s="1" t="s">
        <v>1000</v>
      </c>
      <c r="D210" s="1" t="s">
        <v>65</v>
      </c>
      <c r="E210" s="1" t="s">
        <v>66</v>
      </c>
      <c r="F210" s="1" t="s">
        <v>15</v>
      </c>
    </row>
    <row r="211" spans="1:6" x14ac:dyDescent="0.35">
      <c r="A211" t="str">
        <f t="shared" si="3"/>
        <v>Saprosma ternatum</v>
      </c>
      <c r="B211" s="1" t="s">
        <v>1072</v>
      </c>
      <c r="C211" s="1" t="s">
        <v>1073</v>
      </c>
      <c r="D211" s="1" t="s">
        <v>65</v>
      </c>
      <c r="E211" s="1" t="s">
        <v>66</v>
      </c>
      <c r="F211" s="1" t="s">
        <v>15</v>
      </c>
    </row>
    <row r="212" spans="1:6" x14ac:dyDescent="0.35">
      <c r="A212" t="str">
        <f t="shared" si="3"/>
        <v>Osmanthus didymopetalus</v>
      </c>
      <c r="B212" s="1" t="s">
        <v>858</v>
      </c>
      <c r="C212" s="1" t="s">
        <v>859</v>
      </c>
      <c r="D212" s="1" t="s">
        <v>309</v>
      </c>
      <c r="E212" s="1" t="s">
        <v>277</v>
      </c>
      <c r="F212" s="1" t="s">
        <v>15</v>
      </c>
    </row>
    <row r="213" spans="1:6" x14ac:dyDescent="0.35">
      <c r="A213" t="str">
        <f t="shared" si="3"/>
        <v>Tetrapilus roseus</v>
      </c>
      <c r="B213" s="1" t="s">
        <v>1147</v>
      </c>
      <c r="C213" s="1" t="s">
        <v>1148</v>
      </c>
      <c r="D213" s="1" t="s">
        <v>309</v>
      </c>
      <c r="E213" s="1" t="s">
        <v>277</v>
      </c>
      <c r="F213" s="1" t="s">
        <v>15</v>
      </c>
    </row>
    <row r="214" spans="1:6" x14ac:dyDescent="0.35">
      <c r="A214" t="str">
        <f t="shared" si="3"/>
        <v>Heptapleurum minutistellatum</v>
      </c>
      <c r="B214" s="1" t="s">
        <v>582</v>
      </c>
      <c r="C214" s="1" t="s">
        <v>584</v>
      </c>
      <c r="D214" s="1" t="s">
        <v>419</v>
      </c>
      <c r="E214" s="1" t="s">
        <v>420</v>
      </c>
      <c r="F214" s="1" t="s">
        <v>15</v>
      </c>
    </row>
    <row r="215" spans="1:6" x14ac:dyDescent="0.35">
      <c r="A215" t="str">
        <f t="shared" si="3"/>
        <v>Macropanax undulatus</v>
      </c>
      <c r="B215" s="1" t="s">
        <v>720</v>
      </c>
      <c r="C215" s="1" t="s">
        <v>721</v>
      </c>
      <c r="D215" s="1" t="s">
        <v>419</v>
      </c>
      <c r="E215" s="1" t="s">
        <v>420</v>
      </c>
      <c r="F215" s="1" t="s">
        <v>15</v>
      </c>
    </row>
    <row r="216" spans="1:6" x14ac:dyDescent="0.35">
      <c r="A216" t="str">
        <f t="shared" si="3"/>
        <v>Pterospermum acerifolium</v>
      </c>
      <c r="B216" s="1" t="s">
        <v>1007</v>
      </c>
      <c r="C216" s="1" t="s">
        <v>1008</v>
      </c>
      <c r="D216" s="1" t="s">
        <v>280</v>
      </c>
      <c r="E216" s="1" t="s">
        <v>281</v>
      </c>
      <c r="F216" s="1" t="s">
        <v>15</v>
      </c>
    </row>
    <row r="217" spans="1:6" x14ac:dyDescent="0.35">
      <c r="A217" t="str">
        <f t="shared" si="3"/>
        <v>Sterculia lanceolata</v>
      </c>
      <c r="B217" s="1" t="s">
        <v>1111</v>
      </c>
      <c r="C217" s="1" t="s">
        <v>394</v>
      </c>
      <c r="D217" s="1" t="s">
        <v>280</v>
      </c>
      <c r="E217" s="1" t="s">
        <v>281</v>
      </c>
      <c r="F217" s="1" t="s">
        <v>15</v>
      </c>
    </row>
    <row r="218" spans="1:6" x14ac:dyDescent="0.35">
      <c r="A218" t="str">
        <f t="shared" si="3"/>
        <v>Itea chinensis</v>
      </c>
      <c r="B218" s="1" t="s">
        <v>621</v>
      </c>
      <c r="C218" s="1" t="s">
        <v>390</v>
      </c>
      <c r="D218" s="1" t="s">
        <v>622</v>
      </c>
      <c r="E218" s="1" t="s">
        <v>188</v>
      </c>
      <c r="F218" s="1" t="s">
        <v>15</v>
      </c>
    </row>
    <row r="219" spans="1:6" x14ac:dyDescent="0.35">
      <c r="A219" t="str">
        <f t="shared" si="3"/>
        <v>Garcinia oblongifolia</v>
      </c>
      <c r="B219" s="1" t="s">
        <v>547</v>
      </c>
      <c r="C219" s="1" t="s">
        <v>550</v>
      </c>
      <c r="D219" s="1" t="s">
        <v>549</v>
      </c>
      <c r="E219" s="1" t="s">
        <v>92</v>
      </c>
      <c r="F219" s="1" t="s">
        <v>15</v>
      </c>
    </row>
    <row r="220" spans="1:6" x14ac:dyDescent="0.35">
      <c r="A220" t="str">
        <f t="shared" si="3"/>
        <v>Cratoxylum cochinchinense</v>
      </c>
      <c r="B220" s="1" t="s">
        <v>386</v>
      </c>
      <c r="C220" s="1" t="s">
        <v>387</v>
      </c>
      <c r="D220" s="1" t="s">
        <v>388</v>
      </c>
      <c r="E220" s="1" t="s">
        <v>92</v>
      </c>
      <c r="F220" s="1" t="s">
        <v>15</v>
      </c>
    </row>
    <row r="221" spans="1:6" x14ac:dyDescent="0.35">
      <c r="A221" t="str">
        <f t="shared" si="3"/>
        <v>Garcinia cowa</v>
      </c>
      <c r="B221" s="1" t="s">
        <v>547</v>
      </c>
      <c r="C221" s="1" t="s">
        <v>548</v>
      </c>
      <c r="D221" s="1" t="s">
        <v>549</v>
      </c>
      <c r="E221" s="1" t="s">
        <v>92</v>
      </c>
      <c r="F221" s="1" t="s">
        <v>15</v>
      </c>
    </row>
    <row r="222" spans="1:6" x14ac:dyDescent="0.35">
      <c r="A222" t="str">
        <f t="shared" si="3"/>
        <v>Eriobotrya japonica</v>
      </c>
      <c r="B222" s="1" t="s">
        <v>484</v>
      </c>
      <c r="C222" s="1" t="s">
        <v>112</v>
      </c>
      <c r="D222" s="1" t="s">
        <v>81</v>
      </c>
      <c r="E222" s="1" t="s">
        <v>82</v>
      </c>
      <c r="F222" s="1" t="s">
        <v>15</v>
      </c>
    </row>
    <row r="223" spans="1:6" x14ac:dyDescent="0.35">
      <c r="A223" t="str">
        <f t="shared" si="3"/>
        <v>Rhaphiolepis indica</v>
      </c>
      <c r="B223" s="1" t="s">
        <v>1033</v>
      </c>
      <c r="C223" s="1" t="s">
        <v>945</v>
      </c>
      <c r="D223" s="1" t="s">
        <v>81</v>
      </c>
      <c r="E223" s="1" t="s">
        <v>82</v>
      </c>
      <c r="F223" s="1" t="s">
        <v>15</v>
      </c>
    </row>
    <row r="224" spans="1:6" x14ac:dyDescent="0.35">
      <c r="A224" t="str">
        <f t="shared" si="3"/>
        <v>Archidendron lucidum</v>
      </c>
      <c r="B224" s="1" t="s">
        <v>148</v>
      </c>
      <c r="C224" s="1" t="s">
        <v>150</v>
      </c>
      <c r="D224" s="1" t="s">
        <v>13</v>
      </c>
      <c r="E224" s="1" t="s">
        <v>14</v>
      </c>
      <c r="F224" s="1" t="s">
        <v>15</v>
      </c>
    </row>
    <row r="225" spans="1:6" x14ac:dyDescent="0.35">
      <c r="A225" t="str">
        <f t="shared" si="3"/>
        <v>Acacia crassicarpa</v>
      </c>
      <c r="B225" s="1" t="s">
        <v>11</v>
      </c>
      <c r="C225" s="1" t="s">
        <v>16</v>
      </c>
      <c r="D225" s="1" t="s">
        <v>13</v>
      </c>
      <c r="E225" s="1" t="s">
        <v>14</v>
      </c>
      <c r="F225" s="1" t="s">
        <v>17</v>
      </c>
    </row>
    <row r="226" spans="1:6" x14ac:dyDescent="0.35">
      <c r="A226" t="str">
        <f t="shared" si="3"/>
        <v>Acacia mangium</v>
      </c>
      <c r="B226" s="1" t="s">
        <v>11</v>
      </c>
      <c r="C226" s="1" t="s">
        <v>18</v>
      </c>
      <c r="D226" s="1" t="s">
        <v>13</v>
      </c>
      <c r="E226" s="1" t="s">
        <v>14</v>
      </c>
      <c r="F226" s="1" t="s">
        <v>17</v>
      </c>
    </row>
    <row r="227" spans="1:6" x14ac:dyDescent="0.35">
      <c r="A227" t="str">
        <f t="shared" si="3"/>
        <v>Acacia auriculiformis</v>
      </c>
      <c r="B227" s="1" t="s">
        <v>11</v>
      </c>
      <c r="C227" s="1" t="s">
        <v>12</v>
      </c>
      <c r="D227" s="1" t="s">
        <v>13</v>
      </c>
      <c r="E227" s="1" t="s">
        <v>14</v>
      </c>
      <c r="F227" s="1" t="s">
        <v>15</v>
      </c>
    </row>
    <row r="228" spans="1:6" x14ac:dyDescent="0.35">
      <c r="A228" t="str">
        <f t="shared" si="3"/>
        <v>Archidendron clypearia</v>
      </c>
      <c r="B228" s="1" t="s">
        <v>148</v>
      </c>
      <c r="C228" s="1" t="s">
        <v>149</v>
      </c>
      <c r="D228" s="1" t="s">
        <v>13</v>
      </c>
      <c r="E228" s="1" t="s">
        <v>14</v>
      </c>
      <c r="F228" s="1" t="s">
        <v>15</v>
      </c>
    </row>
    <row r="229" spans="1:6" x14ac:dyDescent="0.35">
      <c r="A229" t="str">
        <f t="shared" si="3"/>
        <v>Millettia leptobotrya</v>
      </c>
      <c r="B229" s="1" t="s">
        <v>785</v>
      </c>
      <c r="C229" s="1" t="s">
        <v>786</v>
      </c>
      <c r="D229" s="1" t="s">
        <v>13</v>
      </c>
      <c r="E229" s="1" t="s">
        <v>14</v>
      </c>
      <c r="F229" s="1" t="s">
        <v>15</v>
      </c>
    </row>
    <row r="230" spans="1:6" x14ac:dyDescent="0.35">
      <c r="A230" t="str">
        <f t="shared" si="3"/>
        <v>Carallia brachiata</v>
      </c>
      <c r="B230" s="1" t="s">
        <v>246</v>
      </c>
      <c r="C230" s="1" t="s">
        <v>247</v>
      </c>
      <c r="D230" s="1" t="s">
        <v>248</v>
      </c>
      <c r="E230" s="1" t="s">
        <v>92</v>
      </c>
      <c r="F230" s="1" t="s">
        <v>15</v>
      </c>
    </row>
    <row r="231" spans="1:6" x14ac:dyDescent="0.35">
      <c r="A231" t="str">
        <f t="shared" si="3"/>
        <v>Alangium chinense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15</v>
      </c>
    </row>
    <row r="232" spans="1:6" x14ac:dyDescent="0.35">
      <c r="A232" t="str">
        <f t="shared" si="3"/>
        <v>Microcos paniculata</v>
      </c>
      <c r="B232" s="1" t="s">
        <v>775</v>
      </c>
      <c r="C232" s="1" t="s">
        <v>636</v>
      </c>
      <c r="D232" s="1" t="s">
        <v>280</v>
      </c>
      <c r="E232" s="1" t="s">
        <v>281</v>
      </c>
      <c r="F232" s="1" t="s">
        <v>15</v>
      </c>
    </row>
    <row r="233" spans="1:6" x14ac:dyDescent="0.35">
      <c r="A233" t="str">
        <f t="shared" si="3"/>
        <v>Decaspermum gracilentum</v>
      </c>
      <c r="B233" s="1" t="s">
        <v>415</v>
      </c>
      <c r="C233" s="1" t="s">
        <v>416</v>
      </c>
      <c r="D233" s="1" t="s">
        <v>222</v>
      </c>
      <c r="E233" s="1" t="s">
        <v>213</v>
      </c>
      <c r="F233" s="1" t="s">
        <v>15</v>
      </c>
    </row>
    <row r="234" spans="1:6" x14ac:dyDescent="0.35">
      <c r="A234" t="str">
        <f t="shared" si="3"/>
        <v>Arenaria serpyllifolia</v>
      </c>
      <c r="B234" s="1" t="s">
        <v>1209</v>
      </c>
      <c r="C234" s="1" t="s">
        <v>1210</v>
      </c>
      <c r="D234" s="1" t="s">
        <v>1211</v>
      </c>
      <c r="E234" s="1" t="s">
        <v>306</v>
      </c>
      <c r="F234" s="1" t="s">
        <v>50</v>
      </c>
    </row>
    <row r="235" spans="1:6" x14ac:dyDescent="0.35">
      <c r="A235" t="str">
        <f t="shared" si="3"/>
        <v>Brachypodium phoenicoides</v>
      </c>
      <c r="B235" s="1" t="s">
        <v>1212</v>
      </c>
      <c r="C235" s="1" t="s">
        <v>1213</v>
      </c>
      <c r="D235" s="1" t="s">
        <v>1214</v>
      </c>
      <c r="E235" s="1" t="s">
        <v>543</v>
      </c>
      <c r="F235" s="1" t="s">
        <v>15</v>
      </c>
    </row>
    <row r="236" spans="1:6" x14ac:dyDescent="0.35">
      <c r="A236" t="str">
        <f t="shared" si="3"/>
        <v>Bromus madritensis</v>
      </c>
      <c r="B236" s="1" t="s">
        <v>1215</v>
      </c>
      <c r="C236" s="1" t="s">
        <v>1216</v>
      </c>
      <c r="D236" s="1" t="s">
        <v>1214</v>
      </c>
      <c r="E236" s="1" t="s">
        <v>543</v>
      </c>
      <c r="F236" s="1" t="s">
        <v>15</v>
      </c>
    </row>
    <row r="237" spans="1:6" x14ac:dyDescent="0.35">
      <c r="A237" t="str">
        <f t="shared" si="3"/>
        <v>Bromus erectus</v>
      </c>
      <c r="B237" s="1" t="s">
        <v>1215</v>
      </c>
      <c r="C237" s="1" t="s">
        <v>1217</v>
      </c>
      <c r="D237" s="1" t="s">
        <v>1214</v>
      </c>
      <c r="E237" s="1" t="s">
        <v>543</v>
      </c>
      <c r="F237" s="1" t="s">
        <v>15</v>
      </c>
    </row>
    <row r="238" spans="1:6" x14ac:dyDescent="0.35">
      <c r="A238" t="str">
        <f t="shared" si="3"/>
        <v>Daucus carota</v>
      </c>
      <c r="B238" s="1" t="s">
        <v>1218</v>
      </c>
      <c r="C238" s="1" t="s">
        <v>1219</v>
      </c>
      <c r="D238" s="1" t="s">
        <v>1071</v>
      </c>
      <c r="E238" s="1" t="s">
        <v>420</v>
      </c>
      <c r="F238" s="1" t="s">
        <v>15</v>
      </c>
    </row>
    <row r="239" spans="1:6" x14ac:dyDescent="0.35">
      <c r="A239" t="str">
        <f t="shared" si="3"/>
        <v>Dactylis glomerata</v>
      </c>
      <c r="B239" s="1" t="s">
        <v>1220</v>
      </c>
      <c r="C239" s="1" t="s">
        <v>1221</v>
      </c>
      <c r="D239" s="1" t="s">
        <v>1214</v>
      </c>
      <c r="E239" s="1" t="s">
        <v>543</v>
      </c>
      <c r="F239" s="1" t="s">
        <v>9</v>
      </c>
    </row>
    <row r="240" spans="1:6" x14ac:dyDescent="0.35">
      <c r="A240" t="str">
        <f t="shared" si="3"/>
        <v>Dactylis glomerata</v>
      </c>
      <c r="B240" s="1" t="s">
        <v>1220</v>
      </c>
      <c r="C240" s="1" t="s">
        <v>1221</v>
      </c>
      <c r="D240" s="1" t="s">
        <v>1214</v>
      </c>
      <c r="E240" s="1" t="s">
        <v>543</v>
      </c>
      <c r="F240" s="1" t="s">
        <v>15</v>
      </c>
    </row>
    <row r="241" spans="1:6" x14ac:dyDescent="0.35">
      <c r="A241" t="str">
        <f t="shared" si="3"/>
        <v>Dactylis glomerata</v>
      </c>
      <c r="B241" s="1" t="s">
        <v>1220</v>
      </c>
      <c r="C241" s="1" t="s">
        <v>1221</v>
      </c>
      <c r="D241" s="1" t="s">
        <v>1214</v>
      </c>
      <c r="E241" s="1" t="s">
        <v>543</v>
      </c>
      <c r="F241" s="1" t="s">
        <v>326</v>
      </c>
    </row>
    <row r="242" spans="1:6" x14ac:dyDescent="0.35">
      <c r="A242" t="str">
        <f t="shared" si="3"/>
        <v>Inula conyza</v>
      </c>
      <c r="B242" s="1" t="s">
        <v>1222</v>
      </c>
      <c r="C242" s="1" t="s">
        <v>1223</v>
      </c>
      <c r="D242" s="1" t="s">
        <v>57</v>
      </c>
      <c r="E242" s="1" t="s">
        <v>58</v>
      </c>
      <c r="F242" s="1" t="s">
        <v>15</v>
      </c>
    </row>
    <row r="243" spans="1:6" x14ac:dyDescent="0.35">
      <c r="A243" t="str">
        <f t="shared" si="3"/>
        <v>Medicago minima</v>
      </c>
      <c r="B243" s="1" t="s">
        <v>1224</v>
      </c>
      <c r="C243" s="1" t="s">
        <v>1225</v>
      </c>
      <c r="D243" s="1" t="s">
        <v>13</v>
      </c>
      <c r="E243" s="1" t="s">
        <v>14</v>
      </c>
      <c r="F243" s="1" t="s">
        <v>15</v>
      </c>
    </row>
    <row r="244" spans="1:6" x14ac:dyDescent="0.35">
      <c r="A244" t="str">
        <f t="shared" si="3"/>
        <v>Picris hieracioides</v>
      </c>
      <c r="B244" s="1" t="s">
        <v>1226</v>
      </c>
      <c r="C244" s="1" t="s">
        <v>1227</v>
      </c>
      <c r="D244" s="1" t="s">
        <v>57</v>
      </c>
      <c r="E244" s="1" t="s">
        <v>58</v>
      </c>
      <c r="F244" s="1" t="s">
        <v>15</v>
      </c>
    </row>
    <row r="245" spans="1:6" x14ac:dyDescent="0.35">
      <c r="A245" t="str">
        <f t="shared" si="3"/>
        <v>Trifolium angustifolium</v>
      </c>
      <c r="B245" s="1" t="s">
        <v>1159</v>
      </c>
      <c r="C245" s="1" t="s">
        <v>1228</v>
      </c>
      <c r="D245" s="1" t="s">
        <v>13</v>
      </c>
      <c r="E245" s="1" t="s">
        <v>14</v>
      </c>
      <c r="F245" s="1" t="s">
        <v>15</v>
      </c>
    </row>
    <row r="246" spans="1:6" x14ac:dyDescent="0.35">
      <c r="A246" t="str">
        <f t="shared" si="3"/>
        <v>Teucrium chamaedrys</v>
      </c>
      <c r="B246" s="1" t="s">
        <v>1149</v>
      </c>
      <c r="C246" s="1" t="s">
        <v>1229</v>
      </c>
      <c r="D246" s="1" t="s">
        <v>646</v>
      </c>
      <c r="E246" s="1" t="s">
        <v>277</v>
      </c>
      <c r="F246" s="1" t="s">
        <v>15</v>
      </c>
    </row>
    <row r="247" spans="1:6" x14ac:dyDescent="0.35">
      <c r="A247" t="str">
        <f t="shared" si="3"/>
        <v>Veronica persica</v>
      </c>
      <c r="B247" s="1" t="s">
        <v>1177</v>
      </c>
      <c r="C247" s="1" t="s">
        <v>1230</v>
      </c>
      <c r="D247" s="1" t="s">
        <v>1179</v>
      </c>
      <c r="E247" s="1" t="s">
        <v>277</v>
      </c>
      <c r="F247" s="1" t="s">
        <v>50</v>
      </c>
    </row>
    <row r="248" spans="1:6" x14ac:dyDescent="0.35">
      <c r="A248" t="str">
        <f t="shared" si="3"/>
        <v>Acer negundo</v>
      </c>
      <c r="B248" s="1" t="s">
        <v>19</v>
      </c>
      <c r="C248" s="1" t="s">
        <v>29</v>
      </c>
      <c r="D248" s="1" t="s">
        <v>21</v>
      </c>
      <c r="E248" s="1" t="s">
        <v>22</v>
      </c>
      <c r="F248" s="1" t="s">
        <v>15</v>
      </c>
    </row>
    <row r="249" spans="1:6" x14ac:dyDescent="0.35">
      <c r="A249" t="str">
        <f t="shared" si="3"/>
        <v>Acer negundo</v>
      </c>
      <c r="B249" s="1" t="s">
        <v>19</v>
      </c>
      <c r="C249" s="1" t="s">
        <v>29</v>
      </c>
      <c r="D249" s="1" t="s">
        <v>21</v>
      </c>
      <c r="E249" s="1" t="s">
        <v>22</v>
      </c>
      <c r="F249" s="1" t="s">
        <v>326</v>
      </c>
    </row>
    <row r="250" spans="1:6" x14ac:dyDescent="0.35">
      <c r="A250" t="str">
        <f t="shared" si="3"/>
        <v>Betula lenta</v>
      </c>
      <c r="B250" s="1" t="s">
        <v>203</v>
      </c>
      <c r="C250" s="1" t="s">
        <v>207</v>
      </c>
      <c r="D250" s="1" t="s">
        <v>109</v>
      </c>
      <c r="E250" s="1" t="s">
        <v>110</v>
      </c>
      <c r="F250" s="1" t="s">
        <v>9</v>
      </c>
    </row>
    <row r="251" spans="1:6" x14ac:dyDescent="0.35">
      <c r="A251" t="str">
        <f t="shared" si="3"/>
        <v>Carya glabra</v>
      </c>
      <c r="B251" s="1" t="s">
        <v>257</v>
      </c>
      <c r="C251" s="1" t="s">
        <v>258</v>
      </c>
      <c r="D251" s="1" t="s">
        <v>259</v>
      </c>
      <c r="E251" s="1" t="s">
        <v>110</v>
      </c>
      <c r="F251" s="1" t="s">
        <v>9</v>
      </c>
    </row>
    <row r="252" spans="1:6" x14ac:dyDescent="0.35">
      <c r="A252" t="str">
        <f t="shared" si="3"/>
        <v>Carya ovata</v>
      </c>
      <c r="B252" s="1" t="s">
        <v>257</v>
      </c>
      <c r="C252" s="1" t="s">
        <v>260</v>
      </c>
      <c r="D252" s="1" t="s">
        <v>259</v>
      </c>
      <c r="E252" s="1" t="s">
        <v>110</v>
      </c>
      <c r="F252" s="1" t="s">
        <v>9</v>
      </c>
    </row>
    <row r="253" spans="1:6" x14ac:dyDescent="0.35">
      <c r="A253" t="str">
        <f t="shared" si="3"/>
        <v>Cercis canadensis</v>
      </c>
      <c r="B253" s="1" t="s">
        <v>297</v>
      </c>
      <c r="C253" s="1" t="s">
        <v>298</v>
      </c>
      <c r="D253" s="1" t="s">
        <v>13</v>
      </c>
      <c r="E253" s="1" t="s">
        <v>14</v>
      </c>
      <c r="F253" s="1" t="s">
        <v>15</v>
      </c>
    </row>
    <row r="254" spans="1:6" x14ac:dyDescent="0.35">
      <c r="A254" t="str">
        <f t="shared" si="3"/>
        <v>Fagus grandifolia</v>
      </c>
      <c r="B254" s="1" t="s">
        <v>516</v>
      </c>
      <c r="C254" s="1" t="s">
        <v>518</v>
      </c>
      <c r="D254" s="1" t="s">
        <v>265</v>
      </c>
      <c r="E254" s="1" t="s">
        <v>110</v>
      </c>
      <c r="F254" s="1" t="s">
        <v>9</v>
      </c>
    </row>
    <row r="255" spans="1:6" x14ac:dyDescent="0.35">
      <c r="A255" t="str">
        <f t="shared" si="3"/>
        <v>Lindera benzoin</v>
      </c>
      <c r="B255" s="1" t="s">
        <v>680</v>
      </c>
      <c r="C255" s="1" t="s">
        <v>681</v>
      </c>
      <c r="D255" s="1" t="s">
        <v>132</v>
      </c>
      <c r="E255" s="1" t="s">
        <v>133</v>
      </c>
      <c r="F255" s="1" t="s">
        <v>15</v>
      </c>
    </row>
    <row r="256" spans="1:6" x14ac:dyDescent="0.35">
      <c r="A256" t="str">
        <f t="shared" si="3"/>
        <v>Pinus pungens</v>
      </c>
      <c r="B256" s="1" t="s">
        <v>905</v>
      </c>
      <c r="C256" s="1" t="s">
        <v>910</v>
      </c>
      <c r="D256" s="1" t="s">
        <v>7</v>
      </c>
      <c r="E256" s="1" t="s">
        <v>8</v>
      </c>
      <c r="F256" s="1" t="s">
        <v>9</v>
      </c>
    </row>
    <row r="257" spans="1:6" x14ac:dyDescent="0.35">
      <c r="A257" t="str">
        <f t="shared" si="3"/>
        <v>Pinus strobus</v>
      </c>
      <c r="B257" s="1" t="s">
        <v>905</v>
      </c>
      <c r="C257" s="1" t="s">
        <v>912</v>
      </c>
      <c r="D257" s="1" t="s">
        <v>7</v>
      </c>
      <c r="E257" s="1" t="s">
        <v>8</v>
      </c>
      <c r="F257" s="1" t="s">
        <v>9</v>
      </c>
    </row>
    <row r="258" spans="1:6" x14ac:dyDescent="0.35">
      <c r="A258" t="str">
        <f t="shared" si="3"/>
        <v>Pinus virginiana</v>
      </c>
      <c r="B258" s="1" t="s">
        <v>905</v>
      </c>
      <c r="C258" s="1" t="s">
        <v>444</v>
      </c>
      <c r="D258" s="1" t="s">
        <v>7</v>
      </c>
      <c r="E258" s="1" t="s">
        <v>8</v>
      </c>
      <c r="F258" s="1" t="s">
        <v>9</v>
      </c>
    </row>
    <row r="259" spans="1:6" x14ac:dyDescent="0.35">
      <c r="A259" t="str">
        <f t="shared" ref="A259:A322" si="4">_xlfn.CONCAT($B259, " ", $C259)</f>
        <v>Pinus virginiana</v>
      </c>
      <c r="B259" s="1" t="s">
        <v>905</v>
      </c>
      <c r="C259" s="1" t="s">
        <v>444</v>
      </c>
      <c r="D259" s="1" t="s">
        <v>7</v>
      </c>
      <c r="E259" s="1" t="s">
        <v>8</v>
      </c>
      <c r="F259" s="1" t="s">
        <v>326</v>
      </c>
    </row>
    <row r="260" spans="1:6" x14ac:dyDescent="0.35">
      <c r="A260" t="str">
        <f t="shared" si="4"/>
        <v>Populus grandidentata</v>
      </c>
      <c r="B260" s="1" t="s">
        <v>938</v>
      </c>
      <c r="C260" s="1" t="s">
        <v>942</v>
      </c>
      <c r="D260" s="1" t="s">
        <v>939</v>
      </c>
      <c r="E260" s="1" t="s">
        <v>92</v>
      </c>
      <c r="F260" s="1" t="s">
        <v>17</v>
      </c>
    </row>
    <row r="261" spans="1:6" x14ac:dyDescent="0.35">
      <c r="A261" t="str">
        <f t="shared" si="4"/>
        <v>Prunus serotina</v>
      </c>
      <c r="B261" s="1" t="s">
        <v>979</v>
      </c>
      <c r="C261" s="1" t="s">
        <v>984</v>
      </c>
      <c r="D261" s="1" t="s">
        <v>81</v>
      </c>
      <c r="E261" s="1" t="s">
        <v>82</v>
      </c>
      <c r="F261" s="1" t="s">
        <v>15</v>
      </c>
    </row>
    <row r="262" spans="1:6" x14ac:dyDescent="0.35">
      <c r="A262" t="str">
        <f t="shared" si="4"/>
        <v>Quercus alba</v>
      </c>
      <c r="B262" s="1" t="s">
        <v>1012</v>
      </c>
      <c r="C262" s="1" t="s">
        <v>6</v>
      </c>
      <c r="D262" s="1" t="s">
        <v>265</v>
      </c>
      <c r="E262" s="1" t="s">
        <v>110</v>
      </c>
      <c r="F262" s="1" t="s">
        <v>9</v>
      </c>
    </row>
    <row r="263" spans="1:6" x14ac:dyDescent="0.35">
      <c r="A263" t="str">
        <f t="shared" si="4"/>
        <v>Quercus alba</v>
      </c>
      <c r="B263" s="1" t="s">
        <v>1012</v>
      </c>
      <c r="C263" s="1" t="s">
        <v>6</v>
      </c>
      <c r="D263" s="1" t="s">
        <v>265</v>
      </c>
      <c r="E263" s="1" t="s">
        <v>110</v>
      </c>
      <c r="F263" s="1" t="s">
        <v>326</v>
      </c>
    </row>
    <row r="264" spans="1:6" x14ac:dyDescent="0.35">
      <c r="A264" t="str">
        <f t="shared" si="4"/>
        <v>Quercus rubra</v>
      </c>
      <c r="B264" s="1" t="s">
        <v>1012</v>
      </c>
      <c r="C264" s="1" t="s">
        <v>189</v>
      </c>
      <c r="D264" s="1" t="s">
        <v>265</v>
      </c>
      <c r="E264" s="1" t="s">
        <v>110</v>
      </c>
      <c r="F264" s="1" t="s">
        <v>9</v>
      </c>
    </row>
    <row r="265" spans="1:6" x14ac:dyDescent="0.35">
      <c r="A265" t="str">
        <f t="shared" si="4"/>
        <v>Quercus rubra</v>
      </c>
      <c r="B265" s="1" t="s">
        <v>1012</v>
      </c>
      <c r="C265" s="1" t="s">
        <v>189</v>
      </c>
      <c r="D265" s="1" t="s">
        <v>265</v>
      </c>
      <c r="E265" s="1" t="s">
        <v>110</v>
      </c>
      <c r="F265" s="1" t="s">
        <v>326</v>
      </c>
    </row>
    <row r="266" spans="1:6" x14ac:dyDescent="0.35">
      <c r="A266" t="str">
        <f t="shared" si="4"/>
        <v>Rhus typhina</v>
      </c>
      <c r="B266" s="1" t="s">
        <v>1042</v>
      </c>
      <c r="C266" s="1" t="s">
        <v>1043</v>
      </c>
      <c r="D266" s="1" t="s">
        <v>312</v>
      </c>
      <c r="E266" s="1" t="s">
        <v>22</v>
      </c>
      <c r="F266" s="1" t="s">
        <v>15</v>
      </c>
    </row>
    <row r="267" spans="1:6" x14ac:dyDescent="0.35">
      <c r="A267" t="str">
        <f t="shared" si="4"/>
        <v>Tilia americana</v>
      </c>
      <c r="B267" s="1" t="s">
        <v>1152</v>
      </c>
      <c r="C267" s="1" t="s">
        <v>533</v>
      </c>
      <c r="D267" s="1" t="s">
        <v>280</v>
      </c>
      <c r="E267" s="1" t="s">
        <v>281</v>
      </c>
      <c r="F267" s="1" t="s">
        <v>9</v>
      </c>
    </row>
    <row r="268" spans="1:6" x14ac:dyDescent="0.35">
      <c r="A268" t="str">
        <f t="shared" si="4"/>
        <v>Tsuga canadensis</v>
      </c>
      <c r="B268" s="1" t="s">
        <v>1166</v>
      </c>
      <c r="C268" s="1" t="s">
        <v>298</v>
      </c>
      <c r="D268" s="1" t="s">
        <v>7</v>
      </c>
      <c r="E268" s="1" t="s">
        <v>8</v>
      </c>
      <c r="F268" s="1" t="s">
        <v>9</v>
      </c>
    </row>
    <row r="269" spans="1:6" x14ac:dyDescent="0.35">
      <c r="A269" t="str">
        <f t="shared" si="4"/>
        <v>Tsuga canadensis</v>
      </c>
      <c r="B269" s="1" t="s">
        <v>1166</v>
      </c>
      <c r="C269" s="1" t="s">
        <v>298</v>
      </c>
      <c r="D269" s="1" t="s">
        <v>7</v>
      </c>
      <c r="E269" s="1" t="s">
        <v>8</v>
      </c>
      <c r="F269" s="1" t="s">
        <v>326</v>
      </c>
    </row>
    <row r="270" spans="1:6" x14ac:dyDescent="0.35">
      <c r="A270" t="str">
        <f t="shared" si="4"/>
        <v>Ulmus rubra</v>
      </c>
      <c r="B270" s="1" t="s">
        <v>1167</v>
      </c>
      <c r="C270" s="1" t="s">
        <v>189</v>
      </c>
      <c r="D270" s="1" t="s">
        <v>1168</v>
      </c>
      <c r="E270" s="1" t="s">
        <v>82</v>
      </c>
      <c r="F270" s="1" t="s">
        <v>15</v>
      </c>
    </row>
    <row r="271" spans="1:6" x14ac:dyDescent="0.35">
      <c r="A271" t="str">
        <f t="shared" si="4"/>
        <v>Achillea millefolium</v>
      </c>
      <c r="B271" s="1" t="s">
        <v>1231</v>
      </c>
      <c r="C271" s="1" t="s">
        <v>1232</v>
      </c>
      <c r="D271" s="1" t="s">
        <v>57</v>
      </c>
      <c r="E271" s="1" t="s">
        <v>58</v>
      </c>
      <c r="F271" s="1" t="s">
        <v>15</v>
      </c>
    </row>
    <row r="272" spans="1:6" x14ac:dyDescent="0.35">
      <c r="A272" t="str">
        <f t="shared" si="4"/>
        <v>Achillea millefolium</v>
      </c>
      <c r="B272" s="1" t="s">
        <v>1231</v>
      </c>
      <c r="C272" s="1" t="s">
        <v>1232</v>
      </c>
      <c r="D272" s="1" t="s">
        <v>57</v>
      </c>
      <c r="E272" s="1" t="s">
        <v>58</v>
      </c>
      <c r="F272" s="1" t="s">
        <v>326</v>
      </c>
    </row>
    <row r="273" spans="1:6" x14ac:dyDescent="0.35">
      <c r="A273" t="str">
        <f t="shared" si="4"/>
        <v>Elymus repens</v>
      </c>
      <c r="B273" s="1" t="s">
        <v>1233</v>
      </c>
      <c r="C273" s="1" t="s">
        <v>1234</v>
      </c>
      <c r="D273" s="1" t="s">
        <v>1214</v>
      </c>
      <c r="E273" s="1" t="s">
        <v>543</v>
      </c>
      <c r="F273" s="1" t="s">
        <v>15</v>
      </c>
    </row>
    <row r="274" spans="1:6" x14ac:dyDescent="0.35">
      <c r="A274" t="str">
        <f t="shared" si="4"/>
        <v>Poa nemoralis</v>
      </c>
      <c r="B274" s="1" t="s">
        <v>1235</v>
      </c>
      <c r="C274" s="1" t="s">
        <v>1236</v>
      </c>
      <c r="D274" s="1" t="s">
        <v>1214</v>
      </c>
      <c r="E274" s="1" t="s">
        <v>543</v>
      </c>
      <c r="F274" s="1" t="s">
        <v>15</v>
      </c>
    </row>
    <row r="275" spans="1:6" x14ac:dyDescent="0.35">
      <c r="A275" t="str">
        <f t="shared" si="4"/>
        <v>Poa nemoralis</v>
      </c>
      <c r="B275" s="1" t="s">
        <v>1235</v>
      </c>
      <c r="C275" s="1" t="s">
        <v>1236</v>
      </c>
      <c r="D275" s="1" t="s">
        <v>1214</v>
      </c>
      <c r="E275" s="1" t="s">
        <v>543</v>
      </c>
      <c r="F275" s="1" t="s">
        <v>326</v>
      </c>
    </row>
    <row r="276" spans="1:6" x14ac:dyDescent="0.35">
      <c r="A276" t="str">
        <f t="shared" si="4"/>
        <v>Carex lasiocarpa</v>
      </c>
      <c r="B276" s="1" t="s">
        <v>1237</v>
      </c>
      <c r="C276" s="1" t="s">
        <v>1238</v>
      </c>
      <c r="D276" s="1" t="s">
        <v>542</v>
      </c>
      <c r="E276" s="1" t="s">
        <v>543</v>
      </c>
      <c r="F276" s="1" t="s">
        <v>326</v>
      </c>
    </row>
    <row r="277" spans="1:6" x14ac:dyDescent="0.35">
      <c r="A277" t="str">
        <f t="shared" si="4"/>
        <v>Chenopodium album</v>
      </c>
      <c r="B277" s="1" t="s">
        <v>304</v>
      </c>
      <c r="C277" s="1" t="s">
        <v>244</v>
      </c>
      <c r="D277" s="1" t="s">
        <v>305</v>
      </c>
      <c r="E277" s="1" t="s">
        <v>306</v>
      </c>
      <c r="F277" s="1" t="s">
        <v>15</v>
      </c>
    </row>
    <row r="278" spans="1:6" x14ac:dyDescent="0.35">
      <c r="A278" t="str">
        <f t="shared" si="4"/>
        <v>Chenopodium album</v>
      </c>
      <c r="B278" s="1" t="s">
        <v>304</v>
      </c>
      <c r="C278" s="1" t="s">
        <v>244</v>
      </c>
      <c r="D278" s="1" t="s">
        <v>305</v>
      </c>
      <c r="E278" s="1" t="s">
        <v>306</v>
      </c>
      <c r="F278" s="1" t="s">
        <v>326</v>
      </c>
    </row>
    <row r="279" spans="1:6" x14ac:dyDescent="0.35">
      <c r="A279" t="str">
        <f t="shared" si="4"/>
        <v>Chenopodium album</v>
      </c>
      <c r="B279" s="1" t="s">
        <v>304</v>
      </c>
      <c r="C279" s="1" t="s">
        <v>244</v>
      </c>
      <c r="D279" s="1" t="s">
        <v>305</v>
      </c>
      <c r="E279" s="1" t="s">
        <v>306</v>
      </c>
      <c r="F279" s="1" t="s">
        <v>50</v>
      </c>
    </row>
    <row r="280" spans="1:6" x14ac:dyDescent="0.35">
      <c r="A280" t="str">
        <f t="shared" si="4"/>
        <v>Crepis tectorum</v>
      </c>
      <c r="B280" s="1" t="s">
        <v>1239</v>
      </c>
      <c r="C280" s="1" t="s">
        <v>1240</v>
      </c>
      <c r="D280" s="1" t="s">
        <v>57</v>
      </c>
      <c r="E280" s="1" t="s">
        <v>58</v>
      </c>
      <c r="F280" s="1" t="s">
        <v>326</v>
      </c>
    </row>
    <row r="281" spans="1:6" x14ac:dyDescent="0.35">
      <c r="A281" t="str">
        <f t="shared" si="4"/>
        <v>Elymus canadensis</v>
      </c>
      <c r="B281" s="1" t="s">
        <v>1233</v>
      </c>
      <c r="C281" s="1" t="s">
        <v>298</v>
      </c>
      <c r="D281" s="1" t="s">
        <v>1214</v>
      </c>
      <c r="E281" s="1" t="s">
        <v>543</v>
      </c>
      <c r="F281" s="1" t="s">
        <v>15</v>
      </c>
    </row>
    <row r="282" spans="1:6" x14ac:dyDescent="0.35">
      <c r="A282" t="str">
        <f t="shared" si="4"/>
        <v>Erigeron canadensis</v>
      </c>
      <c r="B282" s="1" t="s">
        <v>1241</v>
      </c>
      <c r="C282" s="1" t="s">
        <v>298</v>
      </c>
      <c r="D282" s="1" t="s">
        <v>57</v>
      </c>
      <c r="E282" s="1" t="s">
        <v>58</v>
      </c>
      <c r="F282" s="1" t="s">
        <v>15</v>
      </c>
    </row>
    <row r="283" spans="1:6" x14ac:dyDescent="0.35">
      <c r="A283" t="str">
        <f t="shared" si="4"/>
        <v>Festuca ovina</v>
      </c>
      <c r="B283" s="1" t="s">
        <v>1242</v>
      </c>
      <c r="C283" s="1" t="s">
        <v>1243</v>
      </c>
      <c r="D283" s="1" t="s">
        <v>1214</v>
      </c>
      <c r="E283" s="1" t="s">
        <v>543</v>
      </c>
      <c r="F283" s="1" t="s">
        <v>326</v>
      </c>
    </row>
    <row r="284" spans="1:6" x14ac:dyDescent="0.35">
      <c r="A284" t="str">
        <f t="shared" si="4"/>
        <v>Festuca ovina</v>
      </c>
      <c r="B284" s="1" t="s">
        <v>1242</v>
      </c>
      <c r="C284" s="1" t="s">
        <v>1243</v>
      </c>
      <c r="D284" s="1" t="s">
        <v>1214</v>
      </c>
      <c r="E284" s="1" t="s">
        <v>543</v>
      </c>
      <c r="F284" s="1" t="s">
        <v>15</v>
      </c>
    </row>
    <row r="285" spans="1:6" x14ac:dyDescent="0.35">
      <c r="A285" t="str">
        <f t="shared" si="4"/>
        <v>Festuca rubra</v>
      </c>
      <c r="B285" s="1" t="s">
        <v>1242</v>
      </c>
      <c r="C285" s="1" t="s">
        <v>189</v>
      </c>
      <c r="D285" s="1" t="s">
        <v>1214</v>
      </c>
      <c r="E285" s="1" t="s">
        <v>543</v>
      </c>
      <c r="F285" s="1" t="s">
        <v>15</v>
      </c>
    </row>
    <row r="286" spans="1:6" x14ac:dyDescent="0.35">
      <c r="A286" t="str">
        <f t="shared" si="4"/>
        <v>Festuca rubra</v>
      </c>
      <c r="B286" s="1" t="s">
        <v>1242</v>
      </c>
      <c r="C286" s="1" t="s">
        <v>189</v>
      </c>
      <c r="D286" s="1" t="s">
        <v>1214</v>
      </c>
      <c r="E286" s="1" t="s">
        <v>543</v>
      </c>
      <c r="F286" s="1" t="s">
        <v>9</v>
      </c>
    </row>
    <row r="287" spans="1:6" x14ac:dyDescent="0.35">
      <c r="A287" t="str">
        <f t="shared" si="4"/>
        <v>Festuca rubra</v>
      </c>
      <c r="B287" s="1" t="s">
        <v>1242</v>
      </c>
      <c r="C287" s="1" t="s">
        <v>189</v>
      </c>
      <c r="D287" s="1" t="s">
        <v>1214</v>
      </c>
      <c r="E287" s="1" t="s">
        <v>543</v>
      </c>
      <c r="F287" s="1" t="s">
        <v>326</v>
      </c>
    </row>
    <row r="288" spans="1:6" x14ac:dyDescent="0.35">
      <c r="A288" t="str">
        <f t="shared" si="4"/>
        <v>Koeleria pyramidata</v>
      </c>
      <c r="B288" s="1" t="s">
        <v>1244</v>
      </c>
      <c r="C288" s="1" t="s">
        <v>1245</v>
      </c>
      <c r="D288" s="1" t="s">
        <v>1214</v>
      </c>
      <c r="E288" s="1" t="s">
        <v>543</v>
      </c>
      <c r="F288" s="1" t="s">
        <v>15</v>
      </c>
    </row>
    <row r="289" spans="1:6" x14ac:dyDescent="0.35">
      <c r="A289" t="str">
        <f t="shared" si="4"/>
        <v>Melilotus officinalis</v>
      </c>
      <c r="B289" s="1" t="s">
        <v>1246</v>
      </c>
      <c r="C289" s="1" t="s">
        <v>366</v>
      </c>
      <c r="D289" s="1" t="s">
        <v>13</v>
      </c>
      <c r="E289" s="1" t="s">
        <v>14</v>
      </c>
      <c r="F289" s="1" t="s">
        <v>15</v>
      </c>
    </row>
    <row r="290" spans="1:6" x14ac:dyDescent="0.35">
      <c r="A290" t="str">
        <f t="shared" si="4"/>
        <v>Panicum virgatum</v>
      </c>
      <c r="B290" s="1" t="s">
        <v>1247</v>
      </c>
      <c r="C290" s="1" t="s">
        <v>1248</v>
      </c>
      <c r="D290" s="1" t="s">
        <v>1214</v>
      </c>
      <c r="E290" s="1" t="s">
        <v>543</v>
      </c>
      <c r="F290" s="1" t="s">
        <v>15</v>
      </c>
    </row>
    <row r="291" spans="1:6" x14ac:dyDescent="0.35">
      <c r="A291" t="str">
        <f t="shared" si="4"/>
        <v>Phleum pratense</v>
      </c>
      <c r="B291" s="1" t="s">
        <v>1249</v>
      </c>
      <c r="C291" s="1" t="s">
        <v>1250</v>
      </c>
      <c r="D291" s="1" t="s">
        <v>1214</v>
      </c>
      <c r="E291" s="1" t="s">
        <v>543</v>
      </c>
      <c r="F291" s="1" t="s">
        <v>15</v>
      </c>
    </row>
    <row r="292" spans="1:6" x14ac:dyDescent="0.35">
      <c r="A292" t="str">
        <f t="shared" si="4"/>
        <v>Phleum pratense</v>
      </c>
      <c r="B292" s="1" t="s">
        <v>1249</v>
      </c>
      <c r="C292" s="1" t="s">
        <v>1250</v>
      </c>
      <c r="D292" s="1" t="s">
        <v>1214</v>
      </c>
      <c r="E292" s="1" t="s">
        <v>543</v>
      </c>
      <c r="F292" s="1" t="s">
        <v>326</v>
      </c>
    </row>
    <row r="293" spans="1:6" x14ac:dyDescent="0.35">
      <c r="A293" t="str">
        <f t="shared" si="4"/>
        <v>Poa pratensis</v>
      </c>
      <c r="B293" s="1" t="s">
        <v>1235</v>
      </c>
      <c r="C293" s="1" t="s">
        <v>1251</v>
      </c>
      <c r="D293" s="1" t="s">
        <v>1214</v>
      </c>
      <c r="E293" s="1" t="s">
        <v>543</v>
      </c>
      <c r="F293" s="1" t="s">
        <v>9</v>
      </c>
    </row>
    <row r="294" spans="1:6" x14ac:dyDescent="0.35">
      <c r="A294" t="str">
        <f t="shared" si="4"/>
        <v>Poa pratensis</v>
      </c>
      <c r="B294" s="1" t="s">
        <v>1235</v>
      </c>
      <c r="C294" s="1" t="s">
        <v>1251</v>
      </c>
      <c r="D294" s="1" t="s">
        <v>1214</v>
      </c>
      <c r="E294" s="1" t="s">
        <v>543</v>
      </c>
      <c r="F294" s="1" t="s">
        <v>15</v>
      </c>
    </row>
    <row r="295" spans="1:6" x14ac:dyDescent="0.35">
      <c r="A295" t="str">
        <f t="shared" si="4"/>
        <v>Fallopia convolvulus</v>
      </c>
      <c r="B295" s="1" t="s">
        <v>1252</v>
      </c>
      <c r="C295" s="1" t="s">
        <v>1253</v>
      </c>
      <c r="D295" s="1" t="s">
        <v>343</v>
      </c>
      <c r="E295" s="1" t="s">
        <v>306</v>
      </c>
      <c r="F295" s="1" t="s">
        <v>50</v>
      </c>
    </row>
    <row r="296" spans="1:6" x14ac:dyDescent="0.35">
      <c r="A296" t="str">
        <f t="shared" si="4"/>
        <v>Rumex acetosella</v>
      </c>
      <c r="B296" s="1" t="s">
        <v>1254</v>
      </c>
      <c r="C296" s="1" t="s">
        <v>1255</v>
      </c>
      <c r="D296" s="1" t="s">
        <v>343</v>
      </c>
      <c r="E296" s="1" t="s">
        <v>306</v>
      </c>
      <c r="F296" s="1" t="s">
        <v>15</v>
      </c>
    </row>
    <row r="297" spans="1:6" x14ac:dyDescent="0.35">
      <c r="A297" t="str">
        <f t="shared" si="4"/>
        <v>Rumex acetosella</v>
      </c>
      <c r="B297" s="1" t="s">
        <v>1254</v>
      </c>
      <c r="C297" s="1" t="s">
        <v>1255</v>
      </c>
      <c r="D297" s="1" t="s">
        <v>343</v>
      </c>
      <c r="E297" s="1" t="s">
        <v>306</v>
      </c>
      <c r="F297" s="1" t="s">
        <v>326</v>
      </c>
    </row>
    <row r="298" spans="1:6" x14ac:dyDescent="0.35">
      <c r="A298" t="str">
        <f t="shared" si="4"/>
        <v>Rumex acetosella</v>
      </c>
      <c r="B298" s="1" t="s">
        <v>1254</v>
      </c>
      <c r="C298" s="1" t="s">
        <v>1255</v>
      </c>
      <c r="D298" s="1" t="s">
        <v>343</v>
      </c>
      <c r="E298" s="1" t="s">
        <v>306</v>
      </c>
      <c r="F298" s="1" t="s">
        <v>50</v>
      </c>
    </row>
    <row r="299" spans="1:6" x14ac:dyDescent="0.35">
      <c r="A299" t="str">
        <f t="shared" si="4"/>
        <v>Trifolium pratense</v>
      </c>
      <c r="B299" s="1" t="s">
        <v>1159</v>
      </c>
      <c r="C299" s="1" t="s">
        <v>1250</v>
      </c>
      <c r="D299" s="1" t="s">
        <v>13</v>
      </c>
      <c r="E299" s="1" t="s">
        <v>14</v>
      </c>
      <c r="F299" s="1" t="s">
        <v>15</v>
      </c>
    </row>
    <row r="300" spans="1:6" x14ac:dyDescent="0.35">
      <c r="A300" t="str">
        <f t="shared" si="4"/>
        <v>Verbascum thapsus</v>
      </c>
      <c r="B300" s="1" t="s">
        <v>1256</v>
      </c>
      <c r="C300" s="1" t="s">
        <v>1257</v>
      </c>
      <c r="D300" s="1" t="s">
        <v>1258</v>
      </c>
      <c r="E300" s="1" t="s">
        <v>277</v>
      </c>
      <c r="F300" s="1" t="s">
        <v>15</v>
      </c>
    </row>
    <row r="301" spans="1:6" x14ac:dyDescent="0.35">
      <c r="A301" t="str">
        <f t="shared" si="4"/>
        <v>Agrostis capillaris</v>
      </c>
      <c r="B301" s="1" t="s">
        <v>1259</v>
      </c>
      <c r="C301" s="1" t="s">
        <v>1260</v>
      </c>
      <c r="D301" s="1" t="s">
        <v>1214</v>
      </c>
      <c r="E301" s="1" t="s">
        <v>543</v>
      </c>
      <c r="F301" s="1" t="s">
        <v>15</v>
      </c>
    </row>
    <row r="302" spans="1:6" x14ac:dyDescent="0.35">
      <c r="A302" t="str">
        <f t="shared" si="4"/>
        <v>Brachypodium pinnatum</v>
      </c>
      <c r="B302" s="1" t="s">
        <v>1212</v>
      </c>
      <c r="C302" s="1" t="s">
        <v>1261</v>
      </c>
      <c r="D302" s="1" t="s">
        <v>1214</v>
      </c>
      <c r="E302" s="1" t="s">
        <v>543</v>
      </c>
      <c r="F302" s="1" t="s">
        <v>15</v>
      </c>
    </row>
    <row r="303" spans="1:6" x14ac:dyDescent="0.35">
      <c r="A303" t="str">
        <f t="shared" si="4"/>
        <v>Brachypodium sylvaticum</v>
      </c>
      <c r="B303" s="1" t="s">
        <v>1212</v>
      </c>
      <c r="C303" s="1" t="s">
        <v>1262</v>
      </c>
      <c r="D303" s="1" t="s">
        <v>1214</v>
      </c>
      <c r="E303" s="1" t="s">
        <v>543</v>
      </c>
      <c r="F303" s="1" t="s">
        <v>15</v>
      </c>
    </row>
    <row r="304" spans="1:6" x14ac:dyDescent="0.35">
      <c r="A304" t="str">
        <f t="shared" si="4"/>
        <v>Deschampsia cespitosa</v>
      </c>
      <c r="B304" s="1" t="s">
        <v>1263</v>
      </c>
      <c r="C304" s="1" t="s">
        <v>1264</v>
      </c>
      <c r="D304" s="1" t="s">
        <v>1214</v>
      </c>
      <c r="E304" s="1" t="s">
        <v>543</v>
      </c>
      <c r="F304" s="1" t="s">
        <v>15</v>
      </c>
    </row>
    <row r="305" spans="1:6" x14ac:dyDescent="0.35">
      <c r="A305" t="str">
        <f t="shared" si="4"/>
        <v>Deschampsia cespitosa</v>
      </c>
      <c r="B305" s="1" t="s">
        <v>1263</v>
      </c>
      <c r="C305" s="1" t="s">
        <v>1264</v>
      </c>
      <c r="D305" s="1" t="s">
        <v>1214</v>
      </c>
      <c r="E305" s="1" t="s">
        <v>543</v>
      </c>
      <c r="F305" s="1" t="s">
        <v>326</v>
      </c>
    </row>
    <row r="306" spans="1:6" x14ac:dyDescent="0.35">
      <c r="A306" t="str">
        <f t="shared" si="4"/>
        <v>Holcus lanatus</v>
      </c>
      <c r="B306" s="1" t="s">
        <v>1265</v>
      </c>
      <c r="C306" s="1" t="s">
        <v>1266</v>
      </c>
      <c r="D306" s="1" t="s">
        <v>1214</v>
      </c>
      <c r="E306" s="1" t="s">
        <v>543</v>
      </c>
      <c r="F306" s="1" t="s">
        <v>15</v>
      </c>
    </row>
    <row r="307" spans="1:6" x14ac:dyDescent="0.35">
      <c r="A307" t="str">
        <f t="shared" si="4"/>
        <v>Lolium arundinaceum</v>
      </c>
      <c r="B307" s="1" t="s">
        <v>1267</v>
      </c>
      <c r="C307" s="1" t="s">
        <v>1268</v>
      </c>
      <c r="D307" s="1" t="s">
        <v>1214</v>
      </c>
      <c r="E307" s="1" t="s">
        <v>543</v>
      </c>
      <c r="F307" s="1" t="s">
        <v>15</v>
      </c>
    </row>
    <row r="308" spans="1:6" x14ac:dyDescent="0.35">
      <c r="A308" t="str">
        <f t="shared" si="4"/>
        <v>Lolium perenne</v>
      </c>
      <c r="B308" s="1" t="s">
        <v>1267</v>
      </c>
      <c r="C308" s="1" t="s">
        <v>1269</v>
      </c>
      <c r="D308" s="1" t="s">
        <v>1214</v>
      </c>
      <c r="E308" s="1" t="s">
        <v>543</v>
      </c>
      <c r="F308" s="1" t="s">
        <v>9</v>
      </c>
    </row>
    <row r="309" spans="1:6" x14ac:dyDescent="0.35">
      <c r="A309" t="str">
        <f t="shared" si="4"/>
        <v>Lolium perenne</v>
      </c>
      <c r="B309" s="1" t="s">
        <v>1267</v>
      </c>
      <c r="C309" s="1" t="s">
        <v>1269</v>
      </c>
      <c r="D309" s="1" t="s">
        <v>1214</v>
      </c>
      <c r="E309" s="1" t="s">
        <v>543</v>
      </c>
      <c r="F309" s="1" t="s">
        <v>15</v>
      </c>
    </row>
    <row r="310" spans="1:6" x14ac:dyDescent="0.35">
      <c r="A310" t="str">
        <f t="shared" si="4"/>
        <v>Chamaecyparis obtusa</v>
      </c>
      <c r="B310" s="1" t="s">
        <v>299</v>
      </c>
      <c r="C310" s="1" t="s">
        <v>300</v>
      </c>
      <c r="D310" s="1" t="s">
        <v>235</v>
      </c>
      <c r="E310" s="1" t="s">
        <v>236</v>
      </c>
      <c r="F310" s="1" t="s">
        <v>15</v>
      </c>
    </row>
    <row r="311" spans="1:6" x14ac:dyDescent="0.35">
      <c r="A311" t="str">
        <f t="shared" si="4"/>
        <v>Carex humulis</v>
      </c>
      <c r="B311" s="1" t="s">
        <v>1237</v>
      </c>
      <c r="C311" s="1" t="s">
        <v>1270</v>
      </c>
      <c r="D311" s="1" t="s">
        <v>542</v>
      </c>
      <c r="E311" s="1" t="s">
        <v>543</v>
      </c>
      <c r="F311" s="1" t="s">
        <v>326</v>
      </c>
    </row>
    <row r="312" spans="1:6" x14ac:dyDescent="0.35">
      <c r="A312" t="str">
        <f t="shared" si="4"/>
        <v>Adiantum pedatum</v>
      </c>
      <c r="B312" s="1" t="s">
        <v>59</v>
      </c>
      <c r="C312" s="1" t="s">
        <v>60</v>
      </c>
      <c r="D312" s="1" t="s">
        <v>61</v>
      </c>
      <c r="E312" s="1" t="s">
        <v>62</v>
      </c>
      <c r="F312" s="1" t="s">
        <v>15</v>
      </c>
    </row>
    <row r="313" spans="1:6" x14ac:dyDescent="0.35">
      <c r="A313" t="str">
        <f t="shared" si="4"/>
        <v>Athyrium monomachii</v>
      </c>
      <c r="B313" s="1" t="s">
        <v>190</v>
      </c>
      <c r="C313" s="1" t="s">
        <v>191</v>
      </c>
      <c r="D313" s="1" t="s">
        <v>192</v>
      </c>
      <c r="E313" s="1" t="s">
        <v>62</v>
      </c>
      <c r="F313" s="1" t="s">
        <v>15</v>
      </c>
    </row>
    <row r="314" spans="1:6" x14ac:dyDescent="0.35">
      <c r="A314" t="str">
        <f t="shared" si="4"/>
        <v>Athyrium sinense</v>
      </c>
      <c r="B314" s="1" t="s">
        <v>190</v>
      </c>
      <c r="C314" s="1" t="s">
        <v>193</v>
      </c>
      <c r="D314" s="1" t="s">
        <v>192</v>
      </c>
      <c r="E314" s="1" t="s">
        <v>62</v>
      </c>
      <c r="F314" s="1" t="s">
        <v>15</v>
      </c>
    </row>
    <row r="315" spans="1:6" x14ac:dyDescent="0.35">
      <c r="A315" t="str">
        <f t="shared" si="4"/>
        <v>Equisetum hyemale</v>
      </c>
      <c r="B315" s="1" t="s">
        <v>480</v>
      </c>
      <c r="C315" s="1" t="s">
        <v>481</v>
      </c>
      <c r="D315" s="1" t="s">
        <v>482</v>
      </c>
      <c r="E315" s="1" t="s">
        <v>483</v>
      </c>
      <c r="F315" s="1" t="s">
        <v>15</v>
      </c>
    </row>
    <row r="316" spans="1:6" x14ac:dyDescent="0.35">
      <c r="A316" t="str">
        <f t="shared" si="4"/>
        <v>Equisetum hyemale</v>
      </c>
      <c r="B316" s="1" t="s">
        <v>480</v>
      </c>
      <c r="C316" s="1" t="s">
        <v>481</v>
      </c>
      <c r="D316" s="1" t="s">
        <v>482</v>
      </c>
      <c r="E316" s="1" t="s">
        <v>483</v>
      </c>
      <c r="F316" s="1" t="s">
        <v>326</v>
      </c>
    </row>
    <row r="317" spans="1:6" x14ac:dyDescent="0.35">
      <c r="A317" t="str">
        <f t="shared" si="4"/>
        <v>Equisetum pratense</v>
      </c>
      <c r="B317" s="1" t="s">
        <v>480</v>
      </c>
      <c r="C317" s="1" t="s">
        <v>1250</v>
      </c>
      <c r="D317" s="1" t="s">
        <v>482</v>
      </c>
      <c r="E317" s="1" t="s">
        <v>483</v>
      </c>
      <c r="F317" s="1" t="s">
        <v>326</v>
      </c>
    </row>
    <row r="318" spans="1:6" x14ac:dyDescent="0.35">
      <c r="A318" t="str">
        <f t="shared" si="4"/>
        <v>Matteuccia struthiopteris</v>
      </c>
      <c r="B318" s="1" t="s">
        <v>1271</v>
      </c>
      <c r="C318" s="1" t="s">
        <v>1272</v>
      </c>
      <c r="D318" s="1" t="s">
        <v>1273</v>
      </c>
      <c r="E318" s="1" t="s">
        <v>62</v>
      </c>
      <c r="F318" s="1" t="s">
        <v>15</v>
      </c>
    </row>
    <row r="319" spans="1:6" x14ac:dyDescent="0.35">
      <c r="A319" t="str">
        <f t="shared" si="4"/>
        <v>Athyrium spinulosum</v>
      </c>
      <c r="B319" s="1" t="s">
        <v>190</v>
      </c>
      <c r="C319" s="1" t="s">
        <v>194</v>
      </c>
      <c r="D319" s="1" t="s">
        <v>192</v>
      </c>
      <c r="E319" s="1" t="s">
        <v>62</v>
      </c>
      <c r="F319" s="1" t="s">
        <v>15</v>
      </c>
    </row>
    <row r="320" spans="1:6" x14ac:dyDescent="0.35">
      <c r="A320" t="str">
        <f t="shared" si="4"/>
        <v>Juglans mandshurica</v>
      </c>
      <c r="B320" s="1" t="s">
        <v>626</v>
      </c>
      <c r="C320" s="1" t="s">
        <v>536</v>
      </c>
      <c r="D320" s="1" t="s">
        <v>259</v>
      </c>
      <c r="E320" s="1" t="s">
        <v>110</v>
      </c>
      <c r="F320" s="1" t="s">
        <v>15</v>
      </c>
    </row>
    <row r="321" spans="1:6" x14ac:dyDescent="0.35">
      <c r="A321" t="str">
        <f t="shared" si="4"/>
        <v>Phellodendron amurense</v>
      </c>
      <c r="B321" s="1" t="s">
        <v>889</v>
      </c>
      <c r="C321" s="1" t="s">
        <v>890</v>
      </c>
      <c r="D321" s="1" t="s">
        <v>45</v>
      </c>
      <c r="E321" s="1" t="s">
        <v>22</v>
      </c>
      <c r="F321" s="1" t="s">
        <v>15</v>
      </c>
    </row>
    <row r="322" spans="1:6" x14ac:dyDescent="0.35">
      <c r="A322" t="str">
        <f t="shared" si="4"/>
        <v>Euonymus alatus</v>
      </c>
      <c r="B322" s="1" t="s">
        <v>509</v>
      </c>
      <c r="C322" s="1" t="s">
        <v>510</v>
      </c>
      <c r="D322" s="1" t="s">
        <v>511</v>
      </c>
      <c r="E322" s="1" t="s">
        <v>512</v>
      </c>
      <c r="F322" s="1" t="s">
        <v>15</v>
      </c>
    </row>
    <row r="323" spans="1:6" x14ac:dyDescent="0.35">
      <c r="A323" t="str">
        <f t="shared" ref="A323:A386" si="5">_xlfn.CONCAT($B323, " ", $C323)</f>
        <v>Cornus officinalis</v>
      </c>
      <c r="B323" s="1" t="s">
        <v>361</v>
      </c>
      <c r="C323" s="1" t="s">
        <v>366</v>
      </c>
      <c r="D323" s="1" t="s">
        <v>87</v>
      </c>
      <c r="E323" s="1" t="s">
        <v>88</v>
      </c>
      <c r="F323" s="1" t="s">
        <v>17</v>
      </c>
    </row>
    <row r="324" spans="1:6" x14ac:dyDescent="0.35">
      <c r="A324" t="str">
        <f t="shared" si="5"/>
        <v>Cornus bretschneideri</v>
      </c>
      <c r="B324" s="1" t="s">
        <v>361</v>
      </c>
      <c r="C324" s="1" t="s">
        <v>362</v>
      </c>
      <c r="D324" s="1" t="s">
        <v>87</v>
      </c>
      <c r="E324" s="1" t="s">
        <v>88</v>
      </c>
      <c r="F324" s="1" t="s">
        <v>15</v>
      </c>
    </row>
    <row r="325" spans="1:6" x14ac:dyDescent="0.35">
      <c r="A325" t="str">
        <f t="shared" si="5"/>
        <v>Sambucus williamsii</v>
      </c>
      <c r="B325" s="1" t="s">
        <v>1065</v>
      </c>
      <c r="C325" s="1" t="s">
        <v>1066</v>
      </c>
      <c r="D325" s="1" t="s">
        <v>1067</v>
      </c>
      <c r="E325" s="1" t="s">
        <v>708</v>
      </c>
      <c r="F325" s="1" t="s">
        <v>15</v>
      </c>
    </row>
    <row r="326" spans="1:6" x14ac:dyDescent="0.35">
      <c r="A326" t="str">
        <f t="shared" si="5"/>
        <v>Ardisia depressa</v>
      </c>
      <c r="B326" s="1" t="s">
        <v>151</v>
      </c>
      <c r="C326" s="1" t="s">
        <v>152</v>
      </c>
      <c r="D326" s="1" t="s">
        <v>153</v>
      </c>
      <c r="E326" s="1" t="s">
        <v>54</v>
      </c>
      <c r="F326" s="1" t="s">
        <v>15</v>
      </c>
    </row>
    <row r="327" spans="1:6" x14ac:dyDescent="0.35">
      <c r="A327" t="str">
        <f t="shared" si="5"/>
        <v>Eurya japonica</v>
      </c>
      <c r="B327" s="1" t="s">
        <v>514</v>
      </c>
      <c r="C327" s="1" t="s">
        <v>112</v>
      </c>
      <c r="D327" s="1" t="s">
        <v>515</v>
      </c>
      <c r="E327" s="1" t="s">
        <v>54</v>
      </c>
      <c r="F327" s="1" t="s">
        <v>15</v>
      </c>
    </row>
    <row r="328" spans="1:6" x14ac:dyDescent="0.35">
      <c r="A328" t="str">
        <f t="shared" si="5"/>
        <v>Diospyros strigosa</v>
      </c>
      <c r="B328" s="1" t="s">
        <v>441</v>
      </c>
      <c r="C328" s="1" t="s">
        <v>442</v>
      </c>
      <c r="D328" s="1" t="s">
        <v>443</v>
      </c>
      <c r="E328" s="1" t="s">
        <v>54</v>
      </c>
      <c r="F328" s="1" t="s">
        <v>15</v>
      </c>
    </row>
    <row r="329" spans="1:6" x14ac:dyDescent="0.35">
      <c r="A329" t="str">
        <f t="shared" si="5"/>
        <v>Myrsine seguinii</v>
      </c>
      <c r="B329" s="1" t="s">
        <v>804</v>
      </c>
      <c r="C329" s="1" t="s">
        <v>806</v>
      </c>
      <c r="D329" s="1" t="s">
        <v>153</v>
      </c>
      <c r="E329" s="1" t="s">
        <v>54</v>
      </c>
      <c r="F329" s="1" t="s">
        <v>15</v>
      </c>
    </row>
    <row r="330" spans="1:6" x14ac:dyDescent="0.35">
      <c r="A330" t="str">
        <f t="shared" si="5"/>
        <v>Betula utilis</v>
      </c>
      <c r="B330" s="1" t="s">
        <v>203</v>
      </c>
      <c r="C330" s="1" t="s">
        <v>209</v>
      </c>
      <c r="D330" s="1" t="s">
        <v>109</v>
      </c>
      <c r="E330" s="1" t="s">
        <v>110</v>
      </c>
      <c r="F330" s="1" t="s">
        <v>9</v>
      </c>
    </row>
    <row r="331" spans="1:6" x14ac:dyDescent="0.35">
      <c r="A331" t="str">
        <f t="shared" si="5"/>
        <v>Carpinus cordata</v>
      </c>
      <c r="B331" s="1" t="s">
        <v>251</v>
      </c>
      <c r="C331" s="1" t="s">
        <v>253</v>
      </c>
      <c r="D331" s="1" t="s">
        <v>109</v>
      </c>
      <c r="E331" s="1" t="s">
        <v>110</v>
      </c>
      <c r="F331" s="1" t="s">
        <v>9</v>
      </c>
    </row>
    <row r="332" spans="1:6" x14ac:dyDescent="0.35">
      <c r="A332" t="str">
        <f t="shared" si="5"/>
        <v>Betula dahurica</v>
      </c>
      <c r="B332" s="1" t="s">
        <v>203</v>
      </c>
      <c r="C332" s="1" t="s">
        <v>205</v>
      </c>
      <c r="D332" s="1" t="s">
        <v>109</v>
      </c>
      <c r="E332" s="1" t="s">
        <v>110</v>
      </c>
      <c r="F332" s="1" t="s">
        <v>9</v>
      </c>
    </row>
    <row r="333" spans="1:6" x14ac:dyDescent="0.35">
      <c r="A333" t="str">
        <f t="shared" si="5"/>
        <v>Lithocarpus fenestratus</v>
      </c>
      <c r="B333" s="1" t="s">
        <v>689</v>
      </c>
      <c r="C333" s="1" t="s">
        <v>694</v>
      </c>
      <c r="D333" s="1" t="s">
        <v>265</v>
      </c>
      <c r="E333" s="1" t="s">
        <v>110</v>
      </c>
      <c r="F333" s="1" t="s">
        <v>9</v>
      </c>
    </row>
    <row r="334" spans="1:6" x14ac:dyDescent="0.35">
      <c r="A334" t="str">
        <f t="shared" si="5"/>
        <v>Quercus aliena</v>
      </c>
      <c r="B334" s="1" t="s">
        <v>1012</v>
      </c>
      <c r="C334" s="1" t="s">
        <v>1013</v>
      </c>
      <c r="D334" s="1" t="s">
        <v>265</v>
      </c>
      <c r="E334" s="1" t="s">
        <v>110</v>
      </c>
      <c r="F334" s="1" t="s">
        <v>9</v>
      </c>
    </row>
    <row r="335" spans="1:6" x14ac:dyDescent="0.35">
      <c r="A335" t="str">
        <f t="shared" si="5"/>
        <v>Quercus variabilis</v>
      </c>
      <c r="B335" s="1" t="s">
        <v>1012</v>
      </c>
      <c r="C335" s="1" t="s">
        <v>1022</v>
      </c>
      <c r="D335" s="1" t="s">
        <v>265</v>
      </c>
      <c r="E335" s="1" t="s">
        <v>110</v>
      </c>
      <c r="F335" s="1" t="s">
        <v>9</v>
      </c>
    </row>
    <row r="336" spans="1:6" x14ac:dyDescent="0.35">
      <c r="A336" t="str">
        <f t="shared" si="5"/>
        <v>Quercus wutaishanica</v>
      </c>
      <c r="B336" s="1" t="s">
        <v>1012</v>
      </c>
      <c r="C336" s="1" t="s">
        <v>1023</v>
      </c>
      <c r="D336" s="1" t="s">
        <v>265</v>
      </c>
      <c r="E336" s="1" t="s">
        <v>110</v>
      </c>
      <c r="F336" s="1" t="s">
        <v>9</v>
      </c>
    </row>
    <row r="337" spans="1:6" x14ac:dyDescent="0.35">
      <c r="A337" t="str">
        <f t="shared" si="5"/>
        <v>Aidia oxyodonta</v>
      </c>
      <c r="B337" s="1" t="s">
        <v>83</v>
      </c>
      <c r="C337" s="1" t="s">
        <v>84</v>
      </c>
      <c r="D337" s="1" t="s">
        <v>65</v>
      </c>
      <c r="E337" s="1" t="s">
        <v>66</v>
      </c>
      <c r="F337" s="1" t="s">
        <v>15</v>
      </c>
    </row>
    <row r="338" spans="1:6" x14ac:dyDescent="0.35">
      <c r="A338" t="str">
        <f t="shared" si="5"/>
        <v>Ginkgo biloba</v>
      </c>
      <c r="B338" s="1" t="s">
        <v>552</v>
      </c>
      <c r="C338" s="1" t="s">
        <v>553</v>
      </c>
      <c r="D338" s="1" t="s">
        <v>554</v>
      </c>
      <c r="E338" s="1" t="s">
        <v>555</v>
      </c>
      <c r="F338" s="1" t="s">
        <v>15</v>
      </c>
    </row>
    <row r="339" spans="1:6" x14ac:dyDescent="0.35">
      <c r="A339" t="str">
        <f t="shared" si="5"/>
        <v>Fraxinus chinensis</v>
      </c>
      <c r="B339" s="1" t="s">
        <v>532</v>
      </c>
      <c r="C339" s="1" t="s">
        <v>390</v>
      </c>
      <c r="D339" s="1" t="s">
        <v>309</v>
      </c>
      <c r="E339" s="1" t="s">
        <v>277</v>
      </c>
      <c r="F339" s="1" t="s">
        <v>15</v>
      </c>
    </row>
    <row r="340" spans="1:6" x14ac:dyDescent="0.35">
      <c r="A340" t="str">
        <f t="shared" si="5"/>
        <v>Machilus breviflora</v>
      </c>
      <c r="B340" s="1" t="s">
        <v>712</v>
      </c>
      <c r="C340" s="1" t="s">
        <v>713</v>
      </c>
      <c r="D340" s="1" t="s">
        <v>132</v>
      </c>
      <c r="E340" s="1" t="s">
        <v>133</v>
      </c>
      <c r="F340" s="1" t="s">
        <v>15</v>
      </c>
    </row>
    <row r="341" spans="1:6" x14ac:dyDescent="0.35">
      <c r="A341" t="str">
        <f t="shared" si="5"/>
        <v>Machilus shweliensis</v>
      </c>
      <c r="B341" s="1" t="s">
        <v>712</v>
      </c>
      <c r="C341" s="1" t="s">
        <v>718</v>
      </c>
      <c r="D341" s="1" t="s">
        <v>132</v>
      </c>
      <c r="E341" s="1" t="s">
        <v>133</v>
      </c>
      <c r="F341" s="1" t="s">
        <v>15</v>
      </c>
    </row>
    <row r="342" spans="1:6" x14ac:dyDescent="0.35">
      <c r="A342" t="str">
        <f t="shared" si="5"/>
        <v>Lindera communis</v>
      </c>
      <c r="B342" s="1" t="s">
        <v>680</v>
      </c>
      <c r="C342" s="1" t="s">
        <v>629</v>
      </c>
      <c r="D342" s="1" t="s">
        <v>132</v>
      </c>
      <c r="E342" s="1" t="s">
        <v>133</v>
      </c>
      <c r="F342" s="1" t="s">
        <v>15</v>
      </c>
    </row>
    <row r="343" spans="1:6" x14ac:dyDescent="0.35">
      <c r="A343" t="str">
        <f t="shared" si="5"/>
        <v>Goniothalamus griffithii</v>
      </c>
      <c r="B343" s="1" t="s">
        <v>564</v>
      </c>
      <c r="C343" s="1" t="s">
        <v>565</v>
      </c>
      <c r="D343" s="1" t="s">
        <v>169</v>
      </c>
      <c r="E343" s="1" t="s">
        <v>170</v>
      </c>
      <c r="F343" s="1" t="s">
        <v>15</v>
      </c>
    </row>
    <row r="344" spans="1:6" x14ac:dyDescent="0.35">
      <c r="A344" t="str">
        <f t="shared" si="5"/>
        <v>Magnolia championii</v>
      </c>
      <c r="B344" s="1" t="s">
        <v>724</v>
      </c>
      <c r="C344" s="1" t="s">
        <v>730</v>
      </c>
      <c r="D344" s="1" t="s">
        <v>687</v>
      </c>
      <c r="E344" s="1" t="s">
        <v>170</v>
      </c>
      <c r="F344" s="1" t="s">
        <v>15</v>
      </c>
    </row>
    <row r="345" spans="1:6" x14ac:dyDescent="0.35">
      <c r="A345" t="str">
        <f t="shared" si="5"/>
        <v>Knema erratica</v>
      </c>
      <c r="B345" s="1" t="s">
        <v>631</v>
      </c>
      <c r="C345" s="1" t="s">
        <v>632</v>
      </c>
      <c r="D345" s="1" t="s">
        <v>633</v>
      </c>
      <c r="E345" s="1" t="s">
        <v>170</v>
      </c>
      <c r="F345" s="1" t="s">
        <v>15</v>
      </c>
    </row>
    <row r="346" spans="1:6" x14ac:dyDescent="0.35">
      <c r="A346" t="str">
        <f t="shared" si="5"/>
        <v>Populus cathayana</v>
      </c>
      <c r="B346" s="1" t="s">
        <v>938</v>
      </c>
      <c r="C346" s="1" t="s">
        <v>940</v>
      </c>
      <c r="D346" s="1" t="s">
        <v>939</v>
      </c>
      <c r="E346" s="1" t="s">
        <v>92</v>
      </c>
      <c r="F346" s="1" t="s">
        <v>17</v>
      </c>
    </row>
    <row r="347" spans="1:6" x14ac:dyDescent="0.35">
      <c r="A347" t="str">
        <f t="shared" si="5"/>
        <v>Salix caprea</v>
      </c>
      <c r="B347" s="1" t="s">
        <v>1059</v>
      </c>
      <c r="C347" s="1" t="s">
        <v>1061</v>
      </c>
      <c r="D347" s="1" t="s">
        <v>939</v>
      </c>
      <c r="E347" s="1" t="s">
        <v>92</v>
      </c>
      <c r="F347" s="1" t="s">
        <v>17</v>
      </c>
    </row>
    <row r="348" spans="1:6" x14ac:dyDescent="0.35">
      <c r="A348" t="str">
        <f t="shared" si="5"/>
        <v>Salix caprea</v>
      </c>
      <c r="B348" s="1" t="s">
        <v>1059</v>
      </c>
      <c r="C348" s="1" t="s">
        <v>1061</v>
      </c>
      <c r="D348" s="1" t="s">
        <v>939</v>
      </c>
      <c r="E348" s="1" t="s">
        <v>92</v>
      </c>
      <c r="F348" s="1" t="s">
        <v>9</v>
      </c>
    </row>
    <row r="349" spans="1:6" x14ac:dyDescent="0.35">
      <c r="A349" t="str">
        <f t="shared" si="5"/>
        <v>Salix caprea</v>
      </c>
      <c r="B349" s="1" t="s">
        <v>1059</v>
      </c>
      <c r="C349" s="1" t="s">
        <v>1061</v>
      </c>
      <c r="D349" s="1" t="s">
        <v>939</v>
      </c>
      <c r="E349" s="1" t="s">
        <v>92</v>
      </c>
      <c r="F349" s="1" t="s">
        <v>326</v>
      </c>
    </row>
    <row r="350" spans="1:6" x14ac:dyDescent="0.35">
      <c r="A350" t="str">
        <f t="shared" si="5"/>
        <v>Alchornea tiliifolia</v>
      </c>
      <c r="B350" s="1" t="s">
        <v>89</v>
      </c>
      <c r="C350" s="1" t="s">
        <v>90</v>
      </c>
      <c r="D350" s="1" t="s">
        <v>91</v>
      </c>
      <c r="E350" s="1" t="s">
        <v>92</v>
      </c>
      <c r="F350" s="1" t="s">
        <v>15</v>
      </c>
    </row>
    <row r="351" spans="1:6" x14ac:dyDescent="0.35">
      <c r="A351" t="str">
        <f t="shared" si="5"/>
        <v>Sterculia monosperma</v>
      </c>
      <c r="B351" s="1" t="s">
        <v>1111</v>
      </c>
      <c r="C351" s="1" t="s">
        <v>1112</v>
      </c>
      <c r="D351" s="1" t="s">
        <v>280</v>
      </c>
      <c r="E351" s="1" t="s">
        <v>281</v>
      </c>
      <c r="F351" s="1" t="s">
        <v>15</v>
      </c>
    </row>
    <row r="352" spans="1:6" x14ac:dyDescent="0.35">
      <c r="A352" t="str">
        <f t="shared" si="5"/>
        <v>Tilia mandshurica</v>
      </c>
      <c r="B352" s="1" t="s">
        <v>1152</v>
      </c>
      <c r="C352" s="1" t="s">
        <v>536</v>
      </c>
      <c r="D352" s="1" t="s">
        <v>280</v>
      </c>
      <c r="E352" s="1" t="s">
        <v>281</v>
      </c>
      <c r="F352" s="1" t="s">
        <v>9</v>
      </c>
    </row>
    <row r="353" spans="1:6" x14ac:dyDescent="0.35">
      <c r="A353" t="str">
        <f t="shared" si="5"/>
        <v>Tilia mandshurica</v>
      </c>
      <c r="B353" s="1" t="s">
        <v>1152</v>
      </c>
      <c r="C353" s="1" t="s">
        <v>536</v>
      </c>
      <c r="D353" s="1" t="s">
        <v>280</v>
      </c>
      <c r="E353" s="1" t="s">
        <v>281</v>
      </c>
      <c r="F353" s="1" t="s">
        <v>15</v>
      </c>
    </row>
    <row r="354" spans="1:6" x14ac:dyDescent="0.35">
      <c r="A354" t="str">
        <f t="shared" si="5"/>
        <v>Tilia mongolica</v>
      </c>
      <c r="B354" s="1" t="s">
        <v>1152</v>
      </c>
      <c r="C354" s="1" t="s">
        <v>159</v>
      </c>
      <c r="D354" s="1" t="s">
        <v>280</v>
      </c>
      <c r="E354" s="1" t="s">
        <v>281</v>
      </c>
      <c r="F354" s="1" t="s">
        <v>9</v>
      </c>
    </row>
    <row r="355" spans="1:6" x14ac:dyDescent="0.35">
      <c r="A355" t="str">
        <f t="shared" si="5"/>
        <v>Memecylon nigrescens</v>
      </c>
      <c r="B355" s="1" t="s">
        <v>763</v>
      </c>
      <c r="C355" s="1" t="s">
        <v>764</v>
      </c>
      <c r="D355" s="1" t="s">
        <v>212</v>
      </c>
      <c r="E355" s="1" t="s">
        <v>213</v>
      </c>
      <c r="F355" s="1" t="s">
        <v>15</v>
      </c>
    </row>
    <row r="356" spans="1:6" x14ac:dyDescent="0.35">
      <c r="A356" t="str">
        <f t="shared" si="5"/>
        <v>Picea meyeri</v>
      </c>
      <c r="B356" s="1" t="s">
        <v>900</v>
      </c>
      <c r="C356" s="1" t="s">
        <v>903</v>
      </c>
      <c r="D356" s="1" t="s">
        <v>7</v>
      </c>
      <c r="E356" s="1" t="s">
        <v>8</v>
      </c>
      <c r="F356" s="1" t="s">
        <v>9</v>
      </c>
    </row>
    <row r="357" spans="1:6" x14ac:dyDescent="0.35">
      <c r="A357" t="str">
        <f t="shared" si="5"/>
        <v>Picea wilsonii</v>
      </c>
      <c r="B357" s="1" t="s">
        <v>900</v>
      </c>
      <c r="C357" s="1" t="s">
        <v>904</v>
      </c>
      <c r="D357" s="1" t="s">
        <v>7</v>
      </c>
      <c r="E357" s="1" t="s">
        <v>8</v>
      </c>
      <c r="F357" s="1" t="s">
        <v>9</v>
      </c>
    </row>
    <row r="358" spans="1:6" x14ac:dyDescent="0.35">
      <c r="A358" t="str">
        <f t="shared" si="5"/>
        <v>Pinus armandii</v>
      </c>
      <c r="B358" s="1" t="s">
        <v>905</v>
      </c>
      <c r="C358" s="1" t="s">
        <v>906</v>
      </c>
      <c r="D358" s="1" t="s">
        <v>7</v>
      </c>
      <c r="E358" s="1" t="s">
        <v>8</v>
      </c>
      <c r="F358" s="1" t="s">
        <v>9</v>
      </c>
    </row>
    <row r="359" spans="1:6" x14ac:dyDescent="0.35">
      <c r="A359" t="str">
        <f t="shared" si="5"/>
        <v>Pinus tabuliformis</v>
      </c>
      <c r="B359" s="1" t="s">
        <v>905</v>
      </c>
      <c r="C359" s="1" t="s">
        <v>913</v>
      </c>
      <c r="D359" s="1" t="s">
        <v>7</v>
      </c>
      <c r="E359" s="1" t="s">
        <v>8</v>
      </c>
      <c r="F359" s="1" t="s">
        <v>9</v>
      </c>
    </row>
    <row r="360" spans="1:6" x14ac:dyDescent="0.35">
      <c r="A360" t="str">
        <f t="shared" si="5"/>
        <v>Ulmus macrocarpa</v>
      </c>
      <c r="B360" s="1" t="s">
        <v>1167</v>
      </c>
      <c r="C360" s="1" t="s">
        <v>1170</v>
      </c>
      <c r="D360" s="1" t="s">
        <v>1168</v>
      </c>
      <c r="E360" s="1" t="s">
        <v>82</v>
      </c>
      <c r="F360" s="1" t="s">
        <v>15</v>
      </c>
    </row>
    <row r="361" spans="1:6" x14ac:dyDescent="0.35">
      <c r="A361" t="str">
        <f t="shared" si="5"/>
        <v>Ulmus davidiana</v>
      </c>
      <c r="B361" s="1" t="s">
        <v>1167</v>
      </c>
      <c r="C361" s="1" t="s">
        <v>1169</v>
      </c>
      <c r="D361" s="1" t="s">
        <v>1168</v>
      </c>
      <c r="E361" s="1" t="s">
        <v>82</v>
      </c>
      <c r="F361" s="1" t="s">
        <v>9</v>
      </c>
    </row>
    <row r="362" spans="1:6" x14ac:dyDescent="0.35">
      <c r="A362" t="str">
        <f t="shared" si="5"/>
        <v>Ulmus davidiana</v>
      </c>
      <c r="B362" s="1" t="s">
        <v>1167</v>
      </c>
      <c r="C362" s="1" t="s">
        <v>1169</v>
      </c>
      <c r="D362" s="1" t="s">
        <v>1168</v>
      </c>
      <c r="E362" s="1" t="s">
        <v>82</v>
      </c>
      <c r="F362" s="1" t="s">
        <v>17</v>
      </c>
    </row>
    <row r="363" spans="1:6" x14ac:dyDescent="0.35">
      <c r="A363" t="str">
        <f t="shared" si="5"/>
        <v>Malus baccata</v>
      </c>
      <c r="B363" s="1" t="s">
        <v>747</v>
      </c>
      <c r="C363" s="1" t="s">
        <v>748</v>
      </c>
      <c r="D363" s="1" t="s">
        <v>81</v>
      </c>
      <c r="E363" s="1" t="s">
        <v>82</v>
      </c>
      <c r="F363" s="1" t="s">
        <v>15</v>
      </c>
    </row>
    <row r="364" spans="1:6" x14ac:dyDescent="0.35">
      <c r="A364" t="str">
        <f t="shared" si="5"/>
        <v>Pyrus betulifolia</v>
      </c>
      <c r="B364" s="1" t="s">
        <v>1009</v>
      </c>
      <c r="C364" s="1" t="s">
        <v>1010</v>
      </c>
      <c r="D364" s="1" t="s">
        <v>81</v>
      </c>
      <c r="E364" s="1" t="s">
        <v>82</v>
      </c>
      <c r="F364" s="1" t="s">
        <v>15</v>
      </c>
    </row>
    <row r="365" spans="1:6" x14ac:dyDescent="0.35">
      <c r="A365" t="str">
        <f t="shared" si="5"/>
        <v>Sanguisorba officinalis</v>
      </c>
      <c r="B365" s="1" t="s">
        <v>1068</v>
      </c>
      <c r="C365" s="1" t="s">
        <v>366</v>
      </c>
      <c r="D365" s="1" t="s">
        <v>81</v>
      </c>
      <c r="E365" s="1" t="s">
        <v>82</v>
      </c>
      <c r="F365" s="1" t="s">
        <v>15</v>
      </c>
    </row>
    <row r="366" spans="1:6" x14ac:dyDescent="0.35">
      <c r="A366" t="str">
        <f t="shared" si="5"/>
        <v>Sanguisorba officinalis</v>
      </c>
      <c r="B366" s="1" t="s">
        <v>1068</v>
      </c>
      <c r="C366" s="1" t="s">
        <v>366</v>
      </c>
      <c r="D366" s="1" t="s">
        <v>81</v>
      </c>
      <c r="E366" s="1" t="s">
        <v>82</v>
      </c>
      <c r="F366" s="1" t="s">
        <v>326</v>
      </c>
    </row>
    <row r="367" spans="1:6" x14ac:dyDescent="0.35">
      <c r="A367" t="str">
        <f t="shared" si="5"/>
        <v>Sorbus aucuparia</v>
      </c>
      <c r="B367" s="1" t="s">
        <v>1100</v>
      </c>
      <c r="C367" s="1" t="s">
        <v>1101</v>
      </c>
      <c r="D367" s="1" t="s">
        <v>81</v>
      </c>
      <c r="E367" s="1" t="s">
        <v>82</v>
      </c>
      <c r="F367" s="1" t="s">
        <v>15</v>
      </c>
    </row>
    <row r="368" spans="1:6" x14ac:dyDescent="0.35">
      <c r="A368" t="str">
        <f t="shared" si="5"/>
        <v>Aphanamixis polystachya</v>
      </c>
      <c r="B368" s="1" t="s">
        <v>139</v>
      </c>
      <c r="C368" s="1" t="s">
        <v>140</v>
      </c>
      <c r="D368" s="1" t="s">
        <v>141</v>
      </c>
      <c r="E368" s="1" t="s">
        <v>22</v>
      </c>
      <c r="F368" s="1" t="s">
        <v>15</v>
      </c>
    </row>
    <row r="369" spans="1:6" x14ac:dyDescent="0.35">
      <c r="A369" t="str">
        <f t="shared" si="5"/>
        <v>Prasoxylon excelsum</v>
      </c>
      <c r="B369" s="1" t="s">
        <v>948</v>
      </c>
      <c r="C369" s="1" t="s">
        <v>949</v>
      </c>
      <c r="D369" s="1" t="s">
        <v>141</v>
      </c>
      <c r="E369" s="1" t="s">
        <v>22</v>
      </c>
      <c r="F369" s="1" t="s">
        <v>15</v>
      </c>
    </row>
    <row r="370" spans="1:6" x14ac:dyDescent="0.35">
      <c r="A370" t="str">
        <f t="shared" si="5"/>
        <v>Acer davidii</v>
      </c>
      <c r="B370" s="1" t="s">
        <v>19</v>
      </c>
      <c r="C370" s="1" t="s">
        <v>27</v>
      </c>
      <c r="D370" s="1" t="s">
        <v>21</v>
      </c>
      <c r="E370" s="1" t="s">
        <v>22</v>
      </c>
      <c r="F370" s="1" t="s">
        <v>15</v>
      </c>
    </row>
    <row r="371" spans="1:6" x14ac:dyDescent="0.35">
      <c r="A371" t="str">
        <f t="shared" si="5"/>
        <v>Acer truncatum</v>
      </c>
      <c r="B371" s="1" t="s">
        <v>19</v>
      </c>
      <c r="C371" s="1" t="s">
        <v>38</v>
      </c>
      <c r="D371" s="1" t="s">
        <v>21</v>
      </c>
      <c r="E371" s="1" t="s">
        <v>22</v>
      </c>
      <c r="F371" s="1" t="s">
        <v>17</v>
      </c>
    </row>
    <row r="372" spans="1:6" x14ac:dyDescent="0.35">
      <c r="A372" t="str">
        <f t="shared" si="5"/>
        <v>Rhodoleia championii</v>
      </c>
      <c r="B372" s="1" t="s">
        <v>1036</v>
      </c>
      <c r="C372" s="1" t="s">
        <v>730</v>
      </c>
      <c r="D372" s="1" t="s">
        <v>571</v>
      </c>
      <c r="E372" s="1" t="s">
        <v>188</v>
      </c>
      <c r="F372" s="1" t="s">
        <v>15</v>
      </c>
    </row>
    <row r="373" spans="1:6" x14ac:dyDescent="0.35">
      <c r="A373" t="str">
        <f t="shared" si="5"/>
        <v>Dicranopteris linearis</v>
      </c>
      <c r="B373" s="1" t="s">
        <v>428</v>
      </c>
      <c r="C373" s="1" t="s">
        <v>1274</v>
      </c>
      <c r="D373" s="1" t="s">
        <v>430</v>
      </c>
      <c r="E373" s="1" t="s">
        <v>431</v>
      </c>
      <c r="F373" s="1" t="s">
        <v>15</v>
      </c>
    </row>
    <row r="374" spans="1:6" x14ac:dyDescent="0.35">
      <c r="A374" t="str">
        <f t="shared" si="5"/>
        <v>Populus tremuloides</v>
      </c>
      <c r="B374" s="1" t="s">
        <v>938</v>
      </c>
      <c r="C374" s="1" t="s">
        <v>1275</v>
      </c>
      <c r="D374" s="1" t="s">
        <v>939</v>
      </c>
      <c r="E374" s="1" t="s">
        <v>92</v>
      </c>
      <c r="F374" s="1" t="s">
        <v>15</v>
      </c>
    </row>
    <row r="375" spans="1:6" x14ac:dyDescent="0.35">
      <c r="A375" t="str">
        <f t="shared" si="5"/>
        <v>Quercus robur</v>
      </c>
      <c r="B375" s="1" t="s">
        <v>1012</v>
      </c>
      <c r="C375" s="1" t="s">
        <v>1021</v>
      </c>
      <c r="D375" s="1" t="s">
        <v>265</v>
      </c>
      <c r="E375" s="1" t="s">
        <v>110</v>
      </c>
      <c r="F375" s="1" t="s">
        <v>9</v>
      </c>
    </row>
    <row r="376" spans="1:6" x14ac:dyDescent="0.35">
      <c r="A376" t="str">
        <f t="shared" si="5"/>
        <v>Abies alba</v>
      </c>
      <c r="B376" s="1" t="s">
        <v>5</v>
      </c>
      <c r="C376" s="1" t="s">
        <v>6</v>
      </c>
      <c r="D376" s="1" t="s">
        <v>7</v>
      </c>
      <c r="E376" s="1" t="s">
        <v>8</v>
      </c>
      <c r="F376" s="1" t="s">
        <v>9</v>
      </c>
    </row>
    <row r="377" spans="1:6" x14ac:dyDescent="0.35">
      <c r="A377" t="str">
        <f t="shared" si="5"/>
        <v>Larix decidua</v>
      </c>
      <c r="B377" s="1" t="s">
        <v>647</v>
      </c>
      <c r="C377" s="1" t="s">
        <v>648</v>
      </c>
      <c r="D377" s="1" t="s">
        <v>7</v>
      </c>
      <c r="E377" s="1" t="s">
        <v>8</v>
      </c>
      <c r="F377" s="1" t="s">
        <v>9</v>
      </c>
    </row>
    <row r="378" spans="1:6" x14ac:dyDescent="0.35">
      <c r="A378" t="str">
        <f t="shared" si="5"/>
        <v>Picea abies</v>
      </c>
      <c r="B378" s="1" t="s">
        <v>900</v>
      </c>
      <c r="C378" s="1" t="s">
        <v>901</v>
      </c>
      <c r="D378" s="1" t="s">
        <v>7</v>
      </c>
      <c r="E378" s="1" t="s">
        <v>8</v>
      </c>
      <c r="F378" s="1" t="s">
        <v>9</v>
      </c>
    </row>
    <row r="379" spans="1:6" x14ac:dyDescent="0.35">
      <c r="A379" t="str">
        <f t="shared" si="5"/>
        <v>Pinus nigra</v>
      </c>
      <c r="B379" s="1" t="s">
        <v>905</v>
      </c>
      <c r="C379" s="1" t="s">
        <v>627</v>
      </c>
      <c r="D379" s="1" t="s">
        <v>7</v>
      </c>
      <c r="E379" s="1" t="s">
        <v>8</v>
      </c>
      <c r="F379" s="1" t="s">
        <v>9</v>
      </c>
    </row>
    <row r="380" spans="1:6" x14ac:dyDescent="0.35">
      <c r="A380" t="str">
        <f t="shared" si="5"/>
        <v>Pinus sylvestris</v>
      </c>
      <c r="B380" s="1" t="s">
        <v>905</v>
      </c>
      <c r="C380" s="1" t="s">
        <v>460</v>
      </c>
      <c r="D380" s="1" t="s">
        <v>7</v>
      </c>
      <c r="E380" s="1" t="s">
        <v>8</v>
      </c>
      <c r="F380" s="1" t="s">
        <v>9</v>
      </c>
    </row>
    <row r="381" spans="1:6" x14ac:dyDescent="0.35">
      <c r="A381" t="str">
        <f t="shared" si="5"/>
        <v>Pseudotsuga menziesii</v>
      </c>
      <c r="B381" s="1" t="s">
        <v>994</v>
      </c>
      <c r="C381" s="1" t="s">
        <v>832</v>
      </c>
      <c r="D381" s="1" t="s">
        <v>7</v>
      </c>
      <c r="E381" s="1" t="s">
        <v>8</v>
      </c>
      <c r="F381" s="1" t="s">
        <v>9</v>
      </c>
    </row>
    <row r="382" spans="1:6" x14ac:dyDescent="0.35">
      <c r="A382" t="str">
        <f t="shared" si="5"/>
        <v>Pinus elliottii</v>
      </c>
      <c r="B382" s="1" t="s">
        <v>905</v>
      </c>
      <c r="C382" s="1" t="s">
        <v>907</v>
      </c>
      <c r="D382" s="1" t="s">
        <v>7</v>
      </c>
      <c r="E382" s="1" t="s">
        <v>8</v>
      </c>
      <c r="F382" s="1" t="s">
        <v>9</v>
      </c>
    </row>
    <row r="383" spans="1:6" x14ac:dyDescent="0.35">
      <c r="A383" t="str">
        <f t="shared" si="5"/>
        <v>Agathis australis</v>
      </c>
      <c r="B383" s="1" t="s">
        <v>71</v>
      </c>
      <c r="C383" s="1" t="s">
        <v>72</v>
      </c>
      <c r="D383" s="1" t="s">
        <v>73</v>
      </c>
      <c r="E383" s="1" t="s">
        <v>74</v>
      </c>
      <c r="F383" s="1" t="s">
        <v>15</v>
      </c>
    </row>
    <row r="384" spans="1:6" x14ac:dyDescent="0.35">
      <c r="A384" t="str">
        <f t="shared" si="5"/>
        <v>Dacrycarpus dacrydioides</v>
      </c>
      <c r="B384" s="1" t="s">
        <v>403</v>
      </c>
      <c r="C384" s="1" t="s">
        <v>404</v>
      </c>
      <c r="D384" s="1" t="s">
        <v>405</v>
      </c>
      <c r="E384" s="1" t="s">
        <v>74</v>
      </c>
      <c r="F384" s="1" t="s">
        <v>15</v>
      </c>
    </row>
    <row r="385" spans="1:6" x14ac:dyDescent="0.35">
      <c r="A385" t="str">
        <f t="shared" si="5"/>
        <v>Halocarpus biformis</v>
      </c>
      <c r="B385" s="1" t="s">
        <v>567</v>
      </c>
      <c r="C385" s="1" t="s">
        <v>568</v>
      </c>
      <c r="D385" s="1" t="s">
        <v>405</v>
      </c>
      <c r="E385" s="1" t="s">
        <v>74</v>
      </c>
      <c r="F385" s="1" t="s">
        <v>15</v>
      </c>
    </row>
    <row r="386" spans="1:6" x14ac:dyDescent="0.35">
      <c r="A386" t="str">
        <f t="shared" si="5"/>
        <v>Halocarpus kirkii</v>
      </c>
      <c r="B386" s="1" t="s">
        <v>567</v>
      </c>
      <c r="C386" s="1" t="s">
        <v>569</v>
      </c>
      <c r="D386" s="1" t="s">
        <v>405</v>
      </c>
      <c r="E386" s="1" t="s">
        <v>74</v>
      </c>
      <c r="F386" s="1" t="s">
        <v>15</v>
      </c>
    </row>
    <row r="387" spans="1:6" x14ac:dyDescent="0.35">
      <c r="A387" t="str">
        <f t="shared" ref="A387:A450" si="6">_xlfn.CONCAT($B387, " ", $C387)</f>
        <v>Podocarpus totara</v>
      </c>
      <c r="B387" s="1" t="s">
        <v>929</v>
      </c>
      <c r="C387" s="1" t="s">
        <v>933</v>
      </c>
      <c r="D387" s="1" t="s">
        <v>405</v>
      </c>
      <c r="E387" s="1" t="s">
        <v>74</v>
      </c>
      <c r="F387" s="1" t="s">
        <v>15</v>
      </c>
    </row>
    <row r="388" spans="1:6" x14ac:dyDescent="0.35">
      <c r="A388" t="str">
        <f t="shared" si="6"/>
        <v>Prumnopitys taxifolia</v>
      </c>
      <c r="B388" s="1" t="s">
        <v>977</v>
      </c>
      <c r="C388" s="1" t="s">
        <v>978</v>
      </c>
      <c r="D388" s="1" t="s">
        <v>405</v>
      </c>
      <c r="E388" s="1" t="s">
        <v>74</v>
      </c>
      <c r="F388" s="1" t="s">
        <v>15</v>
      </c>
    </row>
    <row r="389" spans="1:6" x14ac:dyDescent="0.35">
      <c r="A389" t="str">
        <f t="shared" si="6"/>
        <v>Ackama rosifolia</v>
      </c>
      <c r="B389" s="1" t="s">
        <v>39</v>
      </c>
      <c r="C389" s="1" t="s">
        <v>40</v>
      </c>
      <c r="D389" s="1" t="s">
        <v>41</v>
      </c>
      <c r="E389" s="1" t="s">
        <v>42</v>
      </c>
      <c r="F389" s="1" t="s">
        <v>15</v>
      </c>
    </row>
    <row r="390" spans="1:6" x14ac:dyDescent="0.35">
      <c r="A390" t="str">
        <f t="shared" si="6"/>
        <v>Alectryon excelsus</v>
      </c>
      <c r="B390" s="1" t="s">
        <v>94</v>
      </c>
      <c r="C390" s="1" t="s">
        <v>95</v>
      </c>
      <c r="D390" s="1" t="s">
        <v>21</v>
      </c>
      <c r="E390" s="1" t="s">
        <v>22</v>
      </c>
      <c r="F390" s="1" t="s">
        <v>15</v>
      </c>
    </row>
    <row r="391" spans="1:6" x14ac:dyDescent="0.35">
      <c r="A391" t="str">
        <f t="shared" si="6"/>
        <v>Coprosma linariifolia</v>
      </c>
      <c r="B391" s="1" t="s">
        <v>350</v>
      </c>
      <c r="C391" s="1" t="s">
        <v>353</v>
      </c>
      <c r="D391" s="1" t="s">
        <v>65</v>
      </c>
      <c r="E391" s="1" t="s">
        <v>66</v>
      </c>
      <c r="F391" s="1" t="s">
        <v>15</v>
      </c>
    </row>
    <row r="392" spans="1:6" x14ac:dyDescent="0.35">
      <c r="A392" t="str">
        <f t="shared" si="6"/>
        <v>Corynocarpus laevigatus</v>
      </c>
      <c r="B392" s="1" t="s">
        <v>371</v>
      </c>
      <c r="C392" s="1" t="s">
        <v>372</v>
      </c>
      <c r="D392" s="1" t="s">
        <v>373</v>
      </c>
      <c r="E392" s="1" t="s">
        <v>360</v>
      </c>
      <c r="F392" s="1" t="s">
        <v>15</v>
      </c>
    </row>
    <row r="393" spans="1:6" x14ac:dyDescent="0.35">
      <c r="A393" t="str">
        <f t="shared" si="6"/>
        <v>Dracophyllum longifolium</v>
      </c>
      <c r="B393" s="1" t="s">
        <v>447</v>
      </c>
      <c r="C393" s="1" t="s">
        <v>448</v>
      </c>
      <c r="D393" s="1" t="s">
        <v>449</v>
      </c>
      <c r="E393" s="1" t="s">
        <v>54</v>
      </c>
      <c r="F393" s="1" t="s">
        <v>450</v>
      </c>
    </row>
    <row r="394" spans="1:6" x14ac:dyDescent="0.35">
      <c r="A394" t="str">
        <f t="shared" si="6"/>
        <v>Dracophyllum longifolium</v>
      </c>
      <c r="B394" s="1" t="s">
        <v>447</v>
      </c>
      <c r="C394" s="1" t="s">
        <v>448</v>
      </c>
      <c r="D394" s="1" t="s">
        <v>449</v>
      </c>
      <c r="E394" s="1" t="s">
        <v>54</v>
      </c>
      <c r="F394" s="1" t="s">
        <v>15</v>
      </c>
    </row>
    <row r="395" spans="1:6" x14ac:dyDescent="0.35">
      <c r="A395" t="str">
        <f t="shared" si="6"/>
        <v>Didymocheton spectabilis</v>
      </c>
      <c r="B395" s="1" t="s">
        <v>432</v>
      </c>
      <c r="C395" s="1" t="s">
        <v>433</v>
      </c>
      <c r="D395" s="1" t="s">
        <v>141</v>
      </c>
      <c r="E395" s="1" t="s">
        <v>22</v>
      </c>
      <c r="F395" s="1" t="s">
        <v>15</v>
      </c>
    </row>
    <row r="396" spans="1:6" x14ac:dyDescent="0.35">
      <c r="A396" t="str">
        <f t="shared" si="6"/>
        <v>Elaeocarpus dentatus</v>
      </c>
      <c r="B396" s="1" t="s">
        <v>455</v>
      </c>
      <c r="C396" s="1" t="s">
        <v>456</v>
      </c>
      <c r="D396" s="1" t="s">
        <v>156</v>
      </c>
      <c r="E396" s="1" t="s">
        <v>42</v>
      </c>
      <c r="F396" s="1" t="s">
        <v>15</v>
      </c>
    </row>
    <row r="397" spans="1:6" x14ac:dyDescent="0.35">
      <c r="A397" t="str">
        <f t="shared" si="6"/>
        <v>Elaeocarpus hookerianus</v>
      </c>
      <c r="B397" s="1" t="s">
        <v>455</v>
      </c>
      <c r="C397" s="1" t="s">
        <v>459</v>
      </c>
      <c r="D397" s="1" t="s">
        <v>156</v>
      </c>
      <c r="E397" s="1" t="s">
        <v>42</v>
      </c>
      <c r="F397" s="1" t="s">
        <v>15</v>
      </c>
    </row>
    <row r="398" spans="1:6" x14ac:dyDescent="0.35">
      <c r="A398" t="str">
        <f t="shared" si="6"/>
        <v>Fuchsia excorticata</v>
      </c>
      <c r="B398" s="1" t="s">
        <v>537</v>
      </c>
      <c r="C398" s="1" t="s">
        <v>538</v>
      </c>
      <c r="D398" s="1" t="s">
        <v>539</v>
      </c>
      <c r="E398" s="1" t="s">
        <v>213</v>
      </c>
      <c r="F398" s="1" t="s">
        <v>15</v>
      </c>
    </row>
    <row r="399" spans="1:6" x14ac:dyDescent="0.35">
      <c r="A399" t="str">
        <f t="shared" si="6"/>
        <v>Nothofagus solandri</v>
      </c>
      <c r="B399" s="1" t="s">
        <v>829</v>
      </c>
      <c r="C399" s="1" t="s">
        <v>834</v>
      </c>
      <c r="D399" s="1" t="s">
        <v>831</v>
      </c>
      <c r="E399" s="1" t="s">
        <v>110</v>
      </c>
      <c r="F399" s="1" t="s">
        <v>9</v>
      </c>
    </row>
    <row r="400" spans="1:6" x14ac:dyDescent="0.35">
      <c r="A400" t="str">
        <f t="shared" si="6"/>
        <v>Nothofagus solandri</v>
      </c>
      <c r="B400" s="1" t="s">
        <v>829</v>
      </c>
      <c r="C400" s="1" t="s">
        <v>834</v>
      </c>
      <c r="D400" s="1" t="s">
        <v>831</v>
      </c>
      <c r="E400" s="1" t="s">
        <v>110</v>
      </c>
      <c r="F400" s="1" t="s">
        <v>15</v>
      </c>
    </row>
    <row r="401" spans="1:6" x14ac:dyDescent="0.35">
      <c r="A401" t="str">
        <f t="shared" si="6"/>
        <v>Nothofagus fusca</v>
      </c>
      <c r="B401" s="1" t="s">
        <v>829</v>
      </c>
      <c r="C401" s="1" t="s">
        <v>830</v>
      </c>
      <c r="D401" s="1" t="s">
        <v>831</v>
      </c>
      <c r="E401" s="1" t="s">
        <v>110</v>
      </c>
      <c r="F401" s="1" t="s">
        <v>9</v>
      </c>
    </row>
    <row r="402" spans="1:6" x14ac:dyDescent="0.35">
      <c r="A402" t="str">
        <f t="shared" si="6"/>
        <v>Nothofagus fusca</v>
      </c>
      <c r="B402" s="1" t="s">
        <v>829</v>
      </c>
      <c r="C402" s="1" t="s">
        <v>830</v>
      </c>
      <c r="D402" s="1" t="s">
        <v>831</v>
      </c>
      <c r="E402" s="1" t="s">
        <v>110</v>
      </c>
      <c r="F402" s="1" t="s">
        <v>15</v>
      </c>
    </row>
    <row r="403" spans="1:6" x14ac:dyDescent="0.35">
      <c r="A403" t="str">
        <f t="shared" si="6"/>
        <v>Hoheria lyallii</v>
      </c>
      <c r="B403" s="1" t="s">
        <v>585</v>
      </c>
      <c r="C403" s="1" t="s">
        <v>586</v>
      </c>
      <c r="D403" s="1" t="s">
        <v>280</v>
      </c>
      <c r="E403" s="1" t="s">
        <v>281</v>
      </c>
      <c r="F403" s="1" t="s">
        <v>15</v>
      </c>
    </row>
    <row r="404" spans="1:6" x14ac:dyDescent="0.35">
      <c r="A404" t="str">
        <f t="shared" si="6"/>
        <v>Hoheria sexstylosa</v>
      </c>
      <c r="B404" s="1" t="s">
        <v>585</v>
      </c>
      <c r="C404" s="1" t="s">
        <v>587</v>
      </c>
      <c r="D404" s="1" t="s">
        <v>280</v>
      </c>
      <c r="E404" s="1" t="s">
        <v>281</v>
      </c>
      <c r="F404" s="1" t="s">
        <v>15</v>
      </c>
    </row>
    <row r="405" spans="1:6" x14ac:dyDescent="0.35">
      <c r="A405" t="str">
        <f t="shared" si="6"/>
        <v>Knightia excelsa</v>
      </c>
      <c r="B405" s="1" t="s">
        <v>634</v>
      </c>
      <c r="C405" s="1" t="s">
        <v>342</v>
      </c>
      <c r="D405" s="1" t="s">
        <v>578</v>
      </c>
      <c r="E405" s="1" t="s">
        <v>579</v>
      </c>
      <c r="F405" s="1" t="s">
        <v>326</v>
      </c>
    </row>
    <row r="406" spans="1:6" x14ac:dyDescent="0.35">
      <c r="A406" t="str">
        <f t="shared" si="6"/>
        <v>Knightia excelsa</v>
      </c>
      <c r="B406" s="1" t="s">
        <v>634</v>
      </c>
      <c r="C406" s="1" t="s">
        <v>342</v>
      </c>
      <c r="D406" s="1" t="s">
        <v>578</v>
      </c>
      <c r="E406" s="1" t="s">
        <v>579</v>
      </c>
      <c r="F406" s="1" t="s">
        <v>15</v>
      </c>
    </row>
    <row r="407" spans="1:6" x14ac:dyDescent="0.35">
      <c r="A407" t="str">
        <f t="shared" si="6"/>
        <v>Kunzea ericoides</v>
      </c>
      <c r="B407" s="1" t="s">
        <v>639</v>
      </c>
      <c r="C407" s="1" t="s">
        <v>640</v>
      </c>
      <c r="D407" s="1" t="s">
        <v>222</v>
      </c>
      <c r="E407" s="1" t="s">
        <v>213</v>
      </c>
      <c r="F407" s="1" t="s">
        <v>17</v>
      </c>
    </row>
    <row r="408" spans="1:6" x14ac:dyDescent="0.35">
      <c r="A408" t="str">
        <f t="shared" si="6"/>
        <v>Kunzea ericoides</v>
      </c>
      <c r="B408" s="1" t="s">
        <v>639</v>
      </c>
      <c r="C408" s="1" t="s">
        <v>640</v>
      </c>
      <c r="D408" s="1" t="s">
        <v>222</v>
      </c>
      <c r="E408" s="1" t="s">
        <v>213</v>
      </c>
      <c r="F408" s="1" t="s">
        <v>15</v>
      </c>
    </row>
    <row r="409" spans="1:6" x14ac:dyDescent="0.35">
      <c r="A409" t="str">
        <f t="shared" si="6"/>
        <v>Nothofagus obliqua</v>
      </c>
      <c r="B409" s="1" t="s">
        <v>829</v>
      </c>
      <c r="C409" s="1" t="s">
        <v>833</v>
      </c>
      <c r="D409" s="1" t="s">
        <v>831</v>
      </c>
      <c r="E409" s="1" t="s">
        <v>110</v>
      </c>
      <c r="F409" s="1" t="s">
        <v>9</v>
      </c>
    </row>
    <row r="410" spans="1:6" x14ac:dyDescent="0.35">
      <c r="A410" t="str">
        <f t="shared" si="6"/>
        <v>Metrosideros excelsa</v>
      </c>
      <c r="B410" s="1" t="s">
        <v>767</v>
      </c>
      <c r="C410" s="1" t="s">
        <v>342</v>
      </c>
      <c r="D410" s="1" t="s">
        <v>222</v>
      </c>
      <c r="E410" s="1" t="s">
        <v>213</v>
      </c>
      <c r="F410" s="1" t="s">
        <v>15</v>
      </c>
    </row>
    <row r="411" spans="1:6" x14ac:dyDescent="0.35">
      <c r="A411" t="str">
        <f t="shared" si="6"/>
        <v>Metrosideros robusta</v>
      </c>
      <c r="B411" s="1" t="s">
        <v>767</v>
      </c>
      <c r="C411" s="1" t="s">
        <v>717</v>
      </c>
      <c r="D411" s="1" t="s">
        <v>222</v>
      </c>
      <c r="E411" s="1" t="s">
        <v>213</v>
      </c>
      <c r="F411" s="1" t="s">
        <v>15</v>
      </c>
    </row>
    <row r="412" spans="1:6" x14ac:dyDescent="0.35">
      <c r="A412" t="str">
        <f t="shared" si="6"/>
        <v>Myrsine coriacea</v>
      </c>
      <c r="B412" s="1" t="s">
        <v>804</v>
      </c>
      <c r="C412" s="1" t="s">
        <v>489</v>
      </c>
      <c r="D412" s="1" t="s">
        <v>153</v>
      </c>
      <c r="E412" s="1" t="s">
        <v>54</v>
      </c>
      <c r="F412" s="1" t="s">
        <v>15</v>
      </c>
    </row>
    <row r="413" spans="1:6" x14ac:dyDescent="0.35">
      <c r="A413" t="str">
        <f t="shared" si="6"/>
        <v>Nestegis lanceolata</v>
      </c>
      <c r="B413" s="1" t="s">
        <v>828</v>
      </c>
      <c r="C413" s="1" t="s">
        <v>394</v>
      </c>
      <c r="D413" s="1" t="s">
        <v>309</v>
      </c>
      <c r="E413" s="1" t="s">
        <v>277</v>
      </c>
      <c r="F413" s="1" t="s">
        <v>15</v>
      </c>
    </row>
    <row r="414" spans="1:6" x14ac:dyDescent="0.35">
      <c r="A414" t="str">
        <f t="shared" si="6"/>
        <v>Olearia rani</v>
      </c>
      <c r="B414" s="1" t="s">
        <v>850</v>
      </c>
      <c r="C414" s="1" t="s">
        <v>852</v>
      </c>
      <c r="D414" s="1" t="s">
        <v>57</v>
      </c>
      <c r="E414" s="1" t="s">
        <v>58</v>
      </c>
      <c r="F414" s="1" t="s">
        <v>15</v>
      </c>
    </row>
    <row r="415" spans="1:6" x14ac:dyDescent="0.35">
      <c r="A415" t="str">
        <f t="shared" si="6"/>
        <v>Pennantia corymbosa</v>
      </c>
      <c r="B415" s="1" t="s">
        <v>884</v>
      </c>
      <c r="C415" s="1" t="s">
        <v>885</v>
      </c>
      <c r="D415" s="1" t="s">
        <v>886</v>
      </c>
      <c r="E415" s="1" t="s">
        <v>420</v>
      </c>
      <c r="F415" s="1" t="s">
        <v>15</v>
      </c>
    </row>
    <row r="416" spans="1:6" x14ac:dyDescent="0.35">
      <c r="A416" t="str">
        <f t="shared" si="6"/>
        <v>Pittosporum eugenioides</v>
      </c>
      <c r="B416" s="1" t="s">
        <v>917</v>
      </c>
      <c r="C416" s="1" t="s">
        <v>918</v>
      </c>
      <c r="D416" s="1" t="s">
        <v>919</v>
      </c>
      <c r="E416" s="1" t="s">
        <v>420</v>
      </c>
      <c r="F416" s="1" t="s">
        <v>15</v>
      </c>
    </row>
    <row r="417" spans="1:6" x14ac:dyDescent="0.35">
      <c r="A417" t="str">
        <f t="shared" si="6"/>
        <v>Pittosporum tenuifolium</v>
      </c>
      <c r="B417" s="1" t="s">
        <v>917</v>
      </c>
      <c r="C417" s="1" t="s">
        <v>920</v>
      </c>
      <c r="D417" s="1" t="s">
        <v>919</v>
      </c>
      <c r="E417" s="1" t="s">
        <v>420</v>
      </c>
      <c r="F417" s="1" t="s">
        <v>15</v>
      </c>
    </row>
    <row r="418" spans="1:6" x14ac:dyDescent="0.35">
      <c r="A418" t="str">
        <f t="shared" si="6"/>
        <v>Plagianthus regius</v>
      </c>
      <c r="B418" s="1" t="s">
        <v>921</v>
      </c>
      <c r="C418" s="1" t="s">
        <v>922</v>
      </c>
      <c r="D418" s="1" t="s">
        <v>280</v>
      </c>
      <c r="E418" s="1" t="s">
        <v>281</v>
      </c>
      <c r="F418" s="1" t="s">
        <v>15</v>
      </c>
    </row>
    <row r="419" spans="1:6" x14ac:dyDescent="0.35">
      <c r="A419" t="str">
        <f t="shared" si="6"/>
        <v>Neopanax arboreus</v>
      </c>
      <c r="B419" s="1" t="s">
        <v>822</v>
      </c>
      <c r="C419" s="1" t="s">
        <v>823</v>
      </c>
      <c r="D419" s="1" t="s">
        <v>419</v>
      </c>
      <c r="E419" s="1" t="s">
        <v>420</v>
      </c>
      <c r="F419" s="1" t="s">
        <v>15</v>
      </c>
    </row>
    <row r="420" spans="1:6" x14ac:dyDescent="0.35">
      <c r="A420" t="str">
        <f t="shared" si="6"/>
        <v>Sophora microphylla</v>
      </c>
      <c r="B420" s="1" t="s">
        <v>1099</v>
      </c>
      <c r="C420" s="1" t="s">
        <v>882</v>
      </c>
      <c r="D420" s="1" t="s">
        <v>13</v>
      </c>
      <c r="E420" s="1" t="s">
        <v>14</v>
      </c>
      <c r="F420" s="1" t="s">
        <v>15</v>
      </c>
    </row>
    <row r="421" spans="1:6" x14ac:dyDescent="0.35">
      <c r="A421" t="str">
        <f t="shared" si="6"/>
        <v>Syzygium maire</v>
      </c>
      <c r="B421" s="1" t="s">
        <v>1123</v>
      </c>
      <c r="C421" s="1" t="s">
        <v>1132</v>
      </c>
      <c r="D421" s="1" t="s">
        <v>222</v>
      </c>
      <c r="E421" s="1" t="s">
        <v>213</v>
      </c>
      <c r="F421" s="1" t="s">
        <v>15</v>
      </c>
    </row>
    <row r="422" spans="1:6" x14ac:dyDescent="0.35">
      <c r="A422" t="str">
        <f t="shared" si="6"/>
        <v>Vitex lucens</v>
      </c>
      <c r="B422" s="1" t="s">
        <v>1183</v>
      </c>
      <c r="C422" s="1" t="s">
        <v>1184</v>
      </c>
      <c r="D422" s="1" t="s">
        <v>646</v>
      </c>
      <c r="E422" s="1" t="s">
        <v>277</v>
      </c>
      <c r="F422" s="1" t="s">
        <v>15</v>
      </c>
    </row>
    <row r="423" spans="1:6" x14ac:dyDescent="0.35">
      <c r="A423" t="str">
        <f t="shared" si="6"/>
        <v>Weinmannia silvicola</v>
      </c>
      <c r="B423" s="1" t="s">
        <v>1187</v>
      </c>
      <c r="C423" s="1" t="s">
        <v>1188</v>
      </c>
      <c r="D423" s="1" t="s">
        <v>41</v>
      </c>
      <c r="E423" s="1" t="s">
        <v>42</v>
      </c>
      <c r="F423" s="1" t="s">
        <v>15</v>
      </c>
    </row>
    <row r="424" spans="1:6" x14ac:dyDescent="0.35">
      <c r="A424" t="str">
        <f t="shared" si="6"/>
        <v>Beilschmiedia tarairi</v>
      </c>
      <c r="B424" s="1" t="s">
        <v>197</v>
      </c>
      <c r="C424" s="1" t="s">
        <v>198</v>
      </c>
      <c r="D424" s="1" t="s">
        <v>132</v>
      </c>
      <c r="E424" s="1" t="s">
        <v>133</v>
      </c>
      <c r="F424" s="1" t="s">
        <v>15</v>
      </c>
    </row>
    <row r="425" spans="1:6" x14ac:dyDescent="0.35">
      <c r="A425" t="str">
        <f t="shared" si="6"/>
        <v>Beilschmiedia tawa</v>
      </c>
      <c r="B425" s="1" t="s">
        <v>197</v>
      </c>
      <c r="C425" s="1" t="s">
        <v>199</v>
      </c>
      <c r="D425" s="1" t="s">
        <v>132</v>
      </c>
      <c r="E425" s="1" t="s">
        <v>133</v>
      </c>
      <c r="F425" s="1" t="s">
        <v>15</v>
      </c>
    </row>
    <row r="426" spans="1:6" x14ac:dyDescent="0.35">
      <c r="A426" t="str">
        <f t="shared" si="6"/>
        <v>Rhopalostylis sapida</v>
      </c>
      <c r="B426" s="1" t="s">
        <v>1040</v>
      </c>
      <c r="C426" s="1" t="s">
        <v>1041</v>
      </c>
      <c r="D426" s="1" t="s">
        <v>229</v>
      </c>
      <c r="E426" s="1" t="s">
        <v>230</v>
      </c>
      <c r="F426" s="1" t="s">
        <v>15</v>
      </c>
    </row>
    <row r="427" spans="1:6" x14ac:dyDescent="0.35">
      <c r="A427" t="str">
        <f t="shared" si="6"/>
        <v>Alsophila tricolor</v>
      </c>
      <c r="B427" s="1" t="s">
        <v>117</v>
      </c>
      <c r="C427" s="1" t="s">
        <v>121</v>
      </c>
      <c r="D427" s="1" t="s">
        <v>119</v>
      </c>
      <c r="E427" s="1" t="s">
        <v>120</v>
      </c>
      <c r="F427" s="1" t="s">
        <v>15</v>
      </c>
    </row>
    <row r="428" spans="1:6" x14ac:dyDescent="0.35">
      <c r="A428" t="str">
        <f t="shared" si="6"/>
        <v>Sphaeropteris medullaris</v>
      </c>
      <c r="B428" s="1" t="s">
        <v>1106</v>
      </c>
      <c r="C428" s="1" t="s">
        <v>1107</v>
      </c>
      <c r="D428" s="1" t="s">
        <v>119</v>
      </c>
      <c r="E428" s="1" t="s">
        <v>120</v>
      </c>
      <c r="F428" s="1" t="s">
        <v>15</v>
      </c>
    </row>
    <row r="429" spans="1:6" x14ac:dyDescent="0.35">
      <c r="A429" t="str">
        <f t="shared" si="6"/>
        <v>Alsophila smithii</v>
      </c>
      <c r="B429" s="1" t="s">
        <v>117</v>
      </c>
      <c r="C429" s="1" t="s">
        <v>118</v>
      </c>
      <c r="D429" s="1" t="s">
        <v>119</v>
      </c>
      <c r="E429" s="1" t="s">
        <v>120</v>
      </c>
      <c r="F429" s="1" t="s">
        <v>15</v>
      </c>
    </row>
    <row r="430" spans="1:6" x14ac:dyDescent="0.35">
      <c r="A430" t="str">
        <f t="shared" si="6"/>
        <v>Acer campestre</v>
      </c>
      <c r="B430" s="1" t="s">
        <v>19</v>
      </c>
      <c r="C430" s="1" t="s">
        <v>24</v>
      </c>
      <c r="D430" s="1" t="s">
        <v>21</v>
      </c>
      <c r="E430" s="1" t="s">
        <v>22</v>
      </c>
      <c r="F430" s="1" t="s">
        <v>15</v>
      </c>
    </row>
    <row r="431" spans="1:6" x14ac:dyDescent="0.35">
      <c r="A431" t="str">
        <f t="shared" si="6"/>
        <v>Prunus avium</v>
      </c>
      <c r="B431" s="1" t="s">
        <v>979</v>
      </c>
      <c r="C431" s="1" t="s">
        <v>981</v>
      </c>
      <c r="D431" s="1" t="s">
        <v>81</v>
      </c>
      <c r="E431" s="1" t="s">
        <v>82</v>
      </c>
      <c r="F431" s="1" t="s">
        <v>15</v>
      </c>
    </row>
    <row r="432" spans="1:6" x14ac:dyDescent="0.35">
      <c r="A432" t="str">
        <f t="shared" si="6"/>
        <v>Prunus avium</v>
      </c>
      <c r="B432" s="1" t="s">
        <v>979</v>
      </c>
      <c r="C432" s="1" t="s">
        <v>981</v>
      </c>
      <c r="D432" s="1" t="s">
        <v>81</v>
      </c>
      <c r="E432" s="1" t="s">
        <v>82</v>
      </c>
      <c r="F432" s="1" t="s">
        <v>326</v>
      </c>
    </row>
    <row r="433" spans="1:6" x14ac:dyDescent="0.35">
      <c r="A433" t="str">
        <f t="shared" si="6"/>
        <v>Betula pendula</v>
      </c>
      <c r="B433" s="1" t="s">
        <v>203</v>
      </c>
      <c r="C433" s="1" t="s">
        <v>208</v>
      </c>
      <c r="D433" s="1" t="s">
        <v>109</v>
      </c>
      <c r="E433" s="1" t="s">
        <v>110</v>
      </c>
      <c r="F433" s="1" t="s">
        <v>9</v>
      </c>
    </row>
    <row r="434" spans="1:6" x14ac:dyDescent="0.35">
      <c r="A434" t="str">
        <f t="shared" si="6"/>
        <v>Berberis thunbergii</v>
      </c>
      <c r="B434" s="1" t="s">
        <v>200</v>
      </c>
      <c r="C434" s="1" t="s">
        <v>201</v>
      </c>
      <c r="D434" s="1" t="s">
        <v>202</v>
      </c>
      <c r="E434" s="1" t="s">
        <v>49</v>
      </c>
      <c r="F434" s="1" t="s">
        <v>15</v>
      </c>
    </row>
    <row r="435" spans="1:6" x14ac:dyDescent="0.35">
      <c r="A435" t="str">
        <f t="shared" si="6"/>
        <v>Lonicera maackii</v>
      </c>
      <c r="B435" s="1" t="s">
        <v>705</v>
      </c>
      <c r="C435" s="1" t="s">
        <v>709</v>
      </c>
      <c r="D435" s="1" t="s">
        <v>707</v>
      </c>
      <c r="E435" s="1" t="s">
        <v>708</v>
      </c>
      <c r="F435" s="1" t="s">
        <v>15</v>
      </c>
    </row>
    <row r="436" spans="1:6" x14ac:dyDescent="0.35">
      <c r="A436" t="str">
        <f t="shared" si="6"/>
        <v>Rubus phoenicolasius</v>
      </c>
      <c r="B436" s="1" t="s">
        <v>1048</v>
      </c>
      <c r="C436" s="1" t="s">
        <v>1053</v>
      </c>
      <c r="D436" s="1" t="s">
        <v>81</v>
      </c>
      <c r="E436" s="1" t="s">
        <v>82</v>
      </c>
      <c r="F436" s="1" t="s">
        <v>15</v>
      </c>
    </row>
    <row r="437" spans="1:6" x14ac:dyDescent="0.35">
      <c r="A437" t="str">
        <f t="shared" si="6"/>
        <v>Rubus allegheniensis</v>
      </c>
      <c r="B437" s="1" t="s">
        <v>1048</v>
      </c>
      <c r="C437" s="1" t="s">
        <v>1049</v>
      </c>
      <c r="D437" s="1" t="s">
        <v>81</v>
      </c>
      <c r="E437" s="1" t="s">
        <v>82</v>
      </c>
      <c r="F437" s="1" t="s">
        <v>15</v>
      </c>
    </row>
    <row r="438" spans="1:6" x14ac:dyDescent="0.35">
      <c r="A438" t="str">
        <f t="shared" si="6"/>
        <v>Viburnum dentatum</v>
      </c>
      <c r="B438" s="1" t="s">
        <v>1180</v>
      </c>
      <c r="C438" s="1" t="s">
        <v>1181</v>
      </c>
      <c r="D438" s="1" t="s">
        <v>1067</v>
      </c>
      <c r="E438" s="1" t="s">
        <v>708</v>
      </c>
      <c r="F438" s="1" t="s">
        <v>15</v>
      </c>
    </row>
    <row r="439" spans="1:6" x14ac:dyDescent="0.35">
      <c r="A439" t="str">
        <f t="shared" si="6"/>
        <v>Trifolium subterraneum</v>
      </c>
      <c r="B439" s="1" t="s">
        <v>1159</v>
      </c>
      <c r="C439" s="1" t="s">
        <v>1160</v>
      </c>
      <c r="D439" s="1" t="s">
        <v>13</v>
      </c>
      <c r="E439" s="1" t="s">
        <v>14</v>
      </c>
      <c r="F439" s="1" t="s">
        <v>15</v>
      </c>
    </row>
    <row r="440" spans="1:6" x14ac:dyDescent="0.35">
      <c r="A440" t="str">
        <f t="shared" si="6"/>
        <v>Carex flacca</v>
      </c>
      <c r="B440" s="1" t="s">
        <v>1237</v>
      </c>
      <c r="C440" s="1" t="s">
        <v>1276</v>
      </c>
      <c r="D440" s="1" t="s">
        <v>542</v>
      </c>
      <c r="E440" s="1" t="s">
        <v>543</v>
      </c>
      <c r="F440" s="1" t="s">
        <v>50</v>
      </c>
    </row>
    <row r="441" spans="1:6" x14ac:dyDescent="0.35">
      <c r="A441" t="str">
        <f t="shared" si="6"/>
        <v>Pilosella officinarum</v>
      </c>
      <c r="B441" s="1" t="s">
        <v>1277</v>
      </c>
      <c r="C441" s="1" t="s">
        <v>1278</v>
      </c>
      <c r="D441" s="1" t="s">
        <v>57</v>
      </c>
      <c r="E441" s="1" t="s">
        <v>58</v>
      </c>
      <c r="F441" s="1" t="s">
        <v>15</v>
      </c>
    </row>
    <row r="442" spans="1:6" x14ac:dyDescent="0.35">
      <c r="A442" t="str">
        <f t="shared" si="6"/>
        <v>Lotus corniculatus</v>
      </c>
      <c r="B442" s="1" t="s">
        <v>1279</v>
      </c>
      <c r="C442" s="1" t="s">
        <v>1280</v>
      </c>
      <c r="D442" s="1" t="s">
        <v>13</v>
      </c>
      <c r="E442" s="1" t="s">
        <v>14</v>
      </c>
      <c r="F442" s="1" t="s">
        <v>15</v>
      </c>
    </row>
    <row r="443" spans="1:6" x14ac:dyDescent="0.35">
      <c r="A443" t="str">
        <f t="shared" si="6"/>
        <v>Lotus corniculatus</v>
      </c>
      <c r="B443" s="1" t="s">
        <v>1279</v>
      </c>
      <c r="C443" s="1" t="s">
        <v>1280</v>
      </c>
      <c r="D443" s="1" t="s">
        <v>13</v>
      </c>
      <c r="E443" s="1" t="s">
        <v>14</v>
      </c>
      <c r="F443" s="1" t="s">
        <v>326</v>
      </c>
    </row>
    <row r="444" spans="1:6" x14ac:dyDescent="0.35">
      <c r="A444" t="str">
        <f t="shared" si="6"/>
        <v>Sanguisorba minor</v>
      </c>
      <c r="B444" s="1" t="s">
        <v>1068</v>
      </c>
      <c r="C444" s="1" t="s">
        <v>866</v>
      </c>
      <c r="D444" s="1" t="s">
        <v>81</v>
      </c>
      <c r="E444" s="1" t="s">
        <v>82</v>
      </c>
      <c r="F444" s="1" t="s">
        <v>15</v>
      </c>
    </row>
    <row r="445" spans="1:6" x14ac:dyDescent="0.35">
      <c r="A445" t="str">
        <f t="shared" si="6"/>
        <v>Stipa pennata</v>
      </c>
      <c r="B445" s="1" t="s">
        <v>1281</v>
      </c>
      <c r="C445" s="1" t="s">
        <v>1282</v>
      </c>
      <c r="D445" s="1" t="s">
        <v>1214</v>
      </c>
      <c r="E445" s="1" t="s">
        <v>543</v>
      </c>
      <c r="F445" s="1" t="s">
        <v>15</v>
      </c>
    </row>
    <row r="446" spans="1:6" x14ac:dyDescent="0.35">
      <c r="A446" t="str">
        <f t="shared" si="6"/>
        <v>Chomelia psilocarpa</v>
      </c>
      <c r="B446" s="1" t="s">
        <v>313</v>
      </c>
      <c r="C446" s="1" t="s">
        <v>314</v>
      </c>
      <c r="D446" s="1" t="s">
        <v>65</v>
      </c>
      <c r="E446" s="1" t="s">
        <v>66</v>
      </c>
      <c r="F446" s="1" t="s">
        <v>15</v>
      </c>
    </row>
    <row r="447" spans="1:6" x14ac:dyDescent="0.35">
      <c r="A447" t="str">
        <f t="shared" si="6"/>
        <v>Coccoloba excelsa</v>
      </c>
      <c r="B447" s="1" t="s">
        <v>341</v>
      </c>
      <c r="C447" s="1" t="s">
        <v>342</v>
      </c>
      <c r="D447" s="1" t="s">
        <v>343</v>
      </c>
      <c r="E447" s="1" t="s">
        <v>306</v>
      </c>
      <c r="F447" s="1" t="s">
        <v>17</v>
      </c>
    </row>
    <row r="448" spans="1:6" x14ac:dyDescent="0.35">
      <c r="A448" t="str">
        <f t="shared" si="6"/>
        <v>Combretum decandrum</v>
      </c>
      <c r="B448" s="1" t="s">
        <v>345</v>
      </c>
      <c r="C448" s="1" t="s">
        <v>346</v>
      </c>
      <c r="D448" s="1" t="s">
        <v>347</v>
      </c>
      <c r="E448" s="1" t="s">
        <v>213</v>
      </c>
      <c r="F448" s="1" t="s">
        <v>15</v>
      </c>
    </row>
    <row r="449" spans="1:6" x14ac:dyDescent="0.35">
      <c r="A449" t="str">
        <f t="shared" si="6"/>
        <v>Prionostemma aspera</v>
      </c>
      <c r="B449" s="1" t="s">
        <v>950</v>
      </c>
      <c r="C449" s="1" t="s">
        <v>951</v>
      </c>
      <c r="D449" s="1" t="s">
        <v>511</v>
      </c>
      <c r="E449" s="1" t="s">
        <v>512</v>
      </c>
      <c r="F449" s="1" t="s">
        <v>15</v>
      </c>
    </row>
    <row r="450" spans="1:6" x14ac:dyDescent="0.35">
      <c r="A450" t="str">
        <f t="shared" si="6"/>
        <v>Clitoria javitensis</v>
      </c>
      <c r="B450" s="1" t="s">
        <v>339</v>
      </c>
      <c r="C450" s="1" t="s">
        <v>340</v>
      </c>
      <c r="D450" s="1" t="s">
        <v>13</v>
      </c>
      <c r="E450" s="1" t="s">
        <v>14</v>
      </c>
      <c r="F450" s="1" t="s">
        <v>15</v>
      </c>
    </row>
    <row r="451" spans="1:6" x14ac:dyDescent="0.35">
      <c r="A451" t="str">
        <f t="shared" ref="A451:A514" si="7">_xlfn.CONCAT($B451, " ", $C451)</f>
        <v>Tanaecium pyramidatum</v>
      </c>
      <c r="B451" s="1" t="s">
        <v>1136</v>
      </c>
      <c r="C451" s="1" t="s">
        <v>1137</v>
      </c>
      <c r="D451" s="1" t="s">
        <v>276</v>
      </c>
      <c r="E451" s="1" t="s">
        <v>277</v>
      </c>
      <c r="F451" s="1" t="s">
        <v>15</v>
      </c>
    </row>
    <row r="452" spans="1:6" x14ac:dyDescent="0.35">
      <c r="A452" t="str">
        <f t="shared" si="7"/>
        <v>Alseis blackiana</v>
      </c>
      <c r="B452" s="1" t="s">
        <v>115</v>
      </c>
      <c r="C452" s="1" t="s">
        <v>116</v>
      </c>
      <c r="D452" s="1" t="s">
        <v>65</v>
      </c>
      <c r="E452" s="1" t="s">
        <v>66</v>
      </c>
      <c r="F452" s="1" t="s">
        <v>15</v>
      </c>
    </row>
    <row r="453" spans="1:6" x14ac:dyDescent="0.35">
      <c r="A453" t="str">
        <f t="shared" si="7"/>
        <v>Coccoloba manzinellensis</v>
      </c>
      <c r="B453" s="1" t="s">
        <v>341</v>
      </c>
      <c r="C453" s="1" t="s">
        <v>344</v>
      </c>
      <c r="D453" s="1" t="s">
        <v>343</v>
      </c>
      <c r="E453" s="1" t="s">
        <v>306</v>
      </c>
      <c r="F453" s="1" t="s">
        <v>17</v>
      </c>
    </row>
    <row r="454" spans="1:6" x14ac:dyDescent="0.35">
      <c r="A454" t="str">
        <f t="shared" si="7"/>
        <v>Terminalia amazonia</v>
      </c>
      <c r="B454" s="1" t="s">
        <v>1142</v>
      </c>
      <c r="C454" s="1" t="s">
        <v>1143</v>
      </c>
      <c r="D454" s="1" t="s">
        <v>347</v>
      </c>
      <c r="E454" s="1" t="s">
        <v>213</v>
      </c>
      <c r="F454" s="1" t="s">
        <v>15</v>
      </c>
    </row>
    <row r="455" spans="1:6" x14ac:dyDescent="0.35">
      <c r="A455" t="str">
        <f t="shared" si="7"/>
        <v>Maytenus schippii</v>
      </c>
      <c r="B455" s="1" t="s">
        <v>756</v>
      </c>
      <c r="C455" s="1" t="s">
        <v>757</v>
      </c>
      <c r="D455" s="1" t="s">
        <v>511</v>
      </c>
      <c r="E455" s="1" t="s">
        <v>512</v>
      </c>
      <c r="F455" s="1" t="s">
        <v>15</v>
      </c>
    </row>
    <row r="456" spans="1:6" x14ac:dyDescent="0.35">
      <c r="A456" t="str">
        <f t="shared" si="7"/>
        <v>Platypodium elegans</v>
      </c>
      <c r="B456" s="1" t="s">
        <v>927</v>
      </c>
      <c r="C456" s="1" t="s">
        <v>928</v>
      </c>
      <c r="D456" s="1" t="s">
        <v>13</v>
      </c>
      <c r="E456" s="1" t="s">
        <v>14</v>
      </c>
      <c r="F456" s="1" t="s">
        <v>15</v>
      </c>
    </row>
    <row r="457" spans="1:6" x14ac:dyDescent="0.35">
      <c r="A457" t="str">
        <f t="shared" si="7"/>
        <v>Handroanthus guayacan</v>
      </c>
      <c r="B457" s="1" t="s">
        <v>572</v>
      </c>
      <c r="C457" s="1" t="s">
        <v>573</v>
      </c>
      <c r="D457" s="1" t="s">
        <v>276</v>
      </c>
      <c r="E457" s="1" t="s">
        <v>277</v>
      </c>
      <c r="F457" s="1" t="s">
        <v>15</v>
      </c>
    </row>
    <row r="458" spans="1:6" x14ac:dyDescent="0.35">
      <c r="A458" t="str">
        <f t="shared" si="7"/>
        <v>Larix kaempferi</v>
      </c>
      <c r="B458" s="1" t="s">
        <v>647</v>
      </c>
      <c r="C458" s="1" t="s">
        <v>650</v>
      </c>
      <c r="D458" s="1" t="s">
        <v>7</v>
      </c>
      <c r="E458" s="1" t="s">
        <v>8</v>
      </c>
      <c r="F458" s="1" t="s">
        <v>9</v>
      </c>
    </row>
    <row r="459" spans="1:6" x14ac:dyDescent="0.35">
      <c r="A459" t="str">
        <f t="shared" si="7"/>
        <v>Pinus koraiensis</v>
      </c>
      <c r="B459" s="1" t="s">
        <v>905</v>
      </c>
      <c r="C459" s="1" t="s">
        <v>902</v>
      </c>
      <c r="D459" s="1" t="s">
        <v>7</v>
      </c>
      <c r="E459" s="1" t="s">
        <v>8</v>
      </c>
      <c r="F459" s="1" t="s">
        <v>9</v>
      </c>
    </row>
    <row r="460" spans="1:6" x14ac:dyDescent="0.35">
      <c r="A460" t="str">
        <f t="shared" si="7"/>
        <v>Picea koraiensis</v>
      </c>
      <c r="B460" s="1" t="s">
        <v>900</v>
      </c>
      <c r="C460" s="1" t="s">
        <v>902</v>
      </c>
      <c r="D460" s="1" t="s">
        <v>7</v>
      </c>
      <c r="E460" s="1" t="s">
        <v>8</v>
      </c>
      <c r="F460" s="1" t="s">
        <v>9</v>
      </c>
    </row>
    <row r="461" spans="1:6" x14ac:dyDescent="0.35">
      <c r="A461" t="str">
        <f t="shared" si="7"/>
        <v>Quercus serrata</v>
      </c>
      <c r="B461" s="1" t="s">
        <v>1012</v>
      </c>
      <c r="C461" s="1" t="s">
        <v>155</v>
      </c>
      <c r="D461" s="1" t="s">
        <v>265</v>
      </c>
      <c r="E461" s="1" t="s">
        <v>110</v>
      </c>
      <c r="F461" s="1" t="s">
        <v>9</v>
      </c>
    </row>
    <row r="462" spans="1:6" x14ac:dyDescent="0.35">
      <c r="A462" t="str">
        <f t="shared" si="7"/>
        <v>Nothofagus menziesii</v>
      </c>
      <c r="B462" s="1" t="s">
        <v>829</v>
      </c>
      <c r="C462" s="1" t="s">
        <v>832</v>
      </c>
      <c r="D462" s="1" t="s">
        <v>831</v>
      </c>
      <c r="E462" s="1" t="s">
        <v>110</v>
      </c>
      <c r="F462" s="1" t="s">
        <v>15</v>
      </c>
    </row>
    <row r="463" spans="1:6" x14ac:dyDescent="0.35">
      <c r="A463" t="str">
        <f t="shared" si="7"/>
        <v>Laurelia novae-zelandiae</v>
      </c>
      <c r="B463" s="1" t="s">
        <v>651</v>
      </c>
      <c r="C463" s="1" t="s">
        <v>652</v>
      </c>
      <c r="D463" s="1" t="s">
        <v>653</v>
      </c>
      <c r="E463" s="1" t="s">
        <v>133</v>
      </c>
      <c r="F463" s="1" t="s">
        <v>15</v>
      </c>
    </row>
    <row r="464" spans="1:6" x14ac:dyDescent="0.35">
      <c r="A464" t="str">
        <f t="shared" si="7"/>
        <v>Bromus catharticus</v>
      </c>
      <c r="B464" s="1" t="s">
        <v>1215</v>
      </c>
      <c r="C464" s="1" t="s">
        <v>1283</v>
      </c>
      <c r="D464" s="1" t="s">
        <v>1214</v>
      </c>
      <c r="E464" s="1" t="s">
        <v>543</v>
      </c>
      <c r="F464" s="1" t="s">
        <v>15</v>
      </c>
    </row>
    <row r="465" spans="1:6" x14ac:dyDescent="0.35">
      <c r="A465" t="str">
        <f t="shared" si="7"/>
        <v>Bromus inermis</v>
      </c>
      <c r="B465" s="1" t="s">
        <v>1215</v>
      </c>
      <c r="C465" s="1" t="s">
        <v>1284</v>
      </c>
      <c r="D465" s="1" t="s">
        <v>1214</v>
      </c>
      <c r="E465" s="1" t="s">
        <v>543</v>
      </c>
      <c r="F465" s="1" t="s">
        <v>15</v>
      </c>
    </row>
    <row r="466" spans="1:6" x14ac:dyDescent="0.35">
      <c r="A466" t="str">
        <f t="shared" si="7"/>
        <v>Bromus inermis</v>
      </c>
      <c r="B466" s="1" t="s">
        <v>1215</v>
      </c>
      <c r="C466" s="1" t="s">
        <v>1284</v>
      </c>
      <c r="D466" s="1" t="s">
        <v>1214</v>
      </c>
      <c r="E466" s="1" t="s">
        <v>543</v>
      </c>
      <c r="F466" s="1" t="s">
        <v>326</v>
      </c>
    </row>
    <row r="467" spans="1:6" x14ac:dyDescent="0.35">
      <c r="A467" t="str">
        <f t="shared" si="7"/>
        <v>Cichorium intybus</v>
      </c>
      <c r="B467" s="1" t="s">
        <v>1285</v>
      </c>
      <c r="C467" s="1" t="s">
        <v>1286</v>
      </c>
      <c r="D467" s="1" t="s">
        <v>57</v>
      </c>
      <c r="E467" s="1" t="s">
        <v>58</v>
      </c>
      <c r="F467" s="1" t="s">
        <v>15</v>
      </c>
    </row>
    <row r="468" spans="1:6" x14ac:dyDescent="0.35">
      <c r="A468" t="str">
        <f t="shared" si="7"/>
        <v>Elymus virginicus</v>
      </c>
      <c r="B468" s="1" t="s">
        <v>1233</v>
      </c>
      <c r="C468" s="1" t="s">
        <v>308</v>
      </c>
      <c r="D468" s="1" t="s">
        <v>1214</v>
      </c>
      <c r="E468" s="1" t="s">
        <v>543</v>
      </c>
      <c r="F468" s="1" t="s">
        <v>15</v>
      </c>
    </row>
    <row r="469" spans="1:6" x14ac:dyDescent="0.35">
      <c r="A469" t="str">
        <f t="shared" si="7"/>
        <v>Medicago sativa</v>
      </c>
      <c r="B469" s="1" t="s">
        <v>1224</v>
      </c>
      <c r="C469" s="1" t="s">
        <v>1287</v>
      </c>
      <c r="D469" s="1" t="s">
        <v>13</v>
      </c>
      <c r="E469" s="1" t="s">
        <v>14</v>
      </c>
      <c r="F469" s="1" t="s">
        <v>15</v>
      </c>
    </row>
    <row r="470" spans="1:6" x14ac:dyDescent="0.35">
      <c r="A470" t="str">
        <f t="shared" si="7"/>
        <v>Phalaris arundinacea</v>
      </c>
      <c r="B470" s="1" t="s">
        <v>1288</v>
      </c>
      <c r="C470" s="1" t="s">
        <v>1289</v>
      </c>
      <c r="D470" s="1" t="s">
        <v>1214</v>
      </c>
      <c r="E470" s="1" t="s">
        <v>543</v>
      </c>
      <c r="F470" s="1" t="s">
        <v>15</v>
      </c>
    </row>
    <row r="471" spans="1:6" x14ac:dyDescent="0.35">
      <c r="A471" t="str">
        <f t="shared" si="7"/>
        <v>Phalaris arundinacea</v>
      </c>
      <c r="B471" s="1" t="s">
        <v>1288</v>
      </c>
      <c r="C471" s="1" t="s">
        <v>1289</v>
      </c>
      <c r="D471" s="1" t="s">
        <v>1214</v>
      </c>
      <c r="E471" s="1" t="s">
        <v>543</v>
      </c>
      <c r="F471" s="1" t="s">
        <v>326</v>
      </c>
    </row>
    <row r="472" spans="1:6" x14ac:dyDescent="0.35">
      <c r="A472" t="str">
        <f t="shared" si="7"/>
        <v>Plantago lanceolata</v>
      </c>
      <c r="B472" s="1" t="s">
        <v>1290</v>
      </c>
      <c r="C472" s="1" t="s">
        <v>394</v>
      </c>
      <c r="D472" s="1" t="s">
        <v>1179</v>
      </c>
      <c r="E472" s="1" t="s">
        <v>277</v>
      </c>
      <c r="F472" s="1" t="s">
        <v>15</v>
      </c>
    </row>
    <row r="473" spans="1:6" x14ac:dyDescent="0.35">
      <c r="A473" t="str">
        <f t="shared" si="7"/>
        <v>Taraxacum campylodes</v>
      </c>
      <c r="B473" s="1" t="s">
        <v>1291</v>
      </c>
      <c r="C473" s="1" t="s">
        <v>1292</v>
      </c>
      <c r="D473" s="1" t="s">
        <v>57</v>
      </c>
      <c r="E473" s="1" t="s">
        <v>58</v>
      </c>
      <c r="F473" s="1" t="s">
        <v>15</v>
      </c>
    </row>
    <row r="474" spans="1:6" x14ac:dyDescent="0.35">
      <c r="A474" t="str">
        <f t="shared" si="7"/>
        <v>Trifolium repens</v>
      </c>
      <c r="B474" s="1" t="s">
        <v>1159</v>
      </c>
      <c r="C474" s="1" t="s">
        <v>1234</v>
      </c>
      <c r="D474" s="1" t="s">
        <v>13</v>
      </c>
      <c r="E474" s="1" t="s">
        <v>14</v>
      </c>
      <c r="F474" s="1" t="s">
        <v>9</v>
      </c>
    </row>
    <row r="475" spans="1:6" x14ac:dyDescent="0.35">
      <c r="A475" t="str">
        <f t="shared" si="7"/>
        <v>Trifolium repens</v>
      </c>
      <c r="B475" s="1" t="s">
        <v>1159</v>
      </c>
      <c r="C475" s="1" t="s">
        <v>1234</v>
      </c>
      <c r="D475" s="1" t="s">
        <v>13</v>
      </c>
      <c r="E475" s="1" t="s">
        <v>14</v>
      </c>
      <c r="F475" s="1" t="s">
        <v>15</v>
      </c>
    </row>
    <row r="476" spans="1:6" x14ac:dyDescent="0.35">
      <c r="A476" t="str">
        <f t="shared" si="7"/>
        <v>Alnus glutinosa</v>
      </c>
      <c r="B476" s="1" t="s">
        <v>107</v>
      </c>
      <c r="C476" s="1" t="s">
        <v>108</v>
      </c>
      <c r="D476" s="1" t="s">
        <v>109</v>
      </c>
      <c r="E476" s="1" t="s">
        <v>110</v>
      </c>
      <c r="F476" s="1" t="s">
        <v>9</v>
      </c>
    </row>
    <row r="477" spans="1:6" x14ac:dyDescent="0.35">
      <c r="A477" t="str">
        <f t="shared" si="7"/>
        <v>Calluna vulgaris</v>
      </c>
      <c r="B477" s="1" t="s">
        <v>1293</v>
      </c>
      <c r="C477" s="1" t="s">
        <v>1294</v>
      </c>
      <c r="D477" s="1" t="s">
        <v>449</v>
      </c>
      <c r="E477" s="1" t="s">
        <v>54</v>
      </c>
      <c r="F477" s="1" t="s">
        <v>450</v>
      </c>
    </row>
    <row r="478" spans="1:6" x14ac:dyDescent="0.35">
      <c r="A478" t="str">
        <f t="shared" si="7"/>
        <v>Celtis australis</v>
      </c>
      <c r="B478" s="1" t="s">
        <v>288</v>
      </c>
      <c r="C478" s="1" t="s">
        <v>72</v>
      </c>
      <c r="D478" s="1" t="s">
        <v>289</v>
      </c>
      <c r="E478" s="1" t="s">
        <v>82</v>
      </c>
      <c r="F478" s="1" t="s">
        <v>15</v>
      </c>
    </row>
    <row r="479" spans="1:6" x14ac:dyDescent="0.35">
      <c r="A479" t="str">
        <f t="shared" si="7"/>
        <v>Cistus albidus</v>
      </c>
      <c r="B479" s="1" t="s">
        <v>333</v>
      </c>
      <c r="C479" s="1" t="s">
        <v>334</v>
      </c>
      <c r="D479" s="1" t="s">
        <v>335</v>
      </c>
      <c r="E479" s="1" t="s">
        <v>281</v>
      </c>
      <c r="F479" s="1" t="s">
        <v>9</v>
      </c>
    </row>
    <row r="480" spans="1:6" x14ac:dyDescent="0.35">
      <c r="A480" t="str">
        <f t="shared" si="7"/>
        <v>Cistus ladanifer</v>
      </c>
      <c r="B480" s="1" t="s">
        <v>333</v>
      </c>
      <c r="C480" s="1" t="s">
        <v>336</v>
      </c>
      <c r="D480" s="1" t="s">
        <v>335</v>
      </c>
      <c r="E480" s="1" t="s">
        <v>281</v>
      </c>
      <c r="F480" s="1" t="s">
        <v>9</v>
      </c>
    </row>
    <row r="481" spans="1:6" x14ac:dyDescent="0.35">
      <c r="A481" t="str">
        <f t="shared" si="7"/>
        <v>Cistus monspeliensis</v>
      </c>
      <c r="B481" s="1" t="s">
        <v>333</v>
      </c>
      <c r="C481" s="1" t="s">
        <v>337</v>
      </c>
      <c r="D481" s="1" t="s">
        <v>335</v>
      </c>
      <c r="E481" s="1" t="s">
        <v>281</v>
      </c>
      <c r="F481" s="1" t="s">
        <v>9</v>
      </c>
    </row>
    <row r="482" spans="1:6" x14ac:dyDescent="0.35">
      <c r="A482" t="str">
        <f t="shared" si="7"/>
        <v>Cistus salviifolius</v>
      </c>
      <c r="B482" s="1" t="s">
        <v>333</v>
      </c>
      <c r="C482" s="1" t="s">
        <v>338</v>
      </c>
      <c r="D482" s="1" t="s">
        <v>335</v>
      </c>
      <c r="E482" s="1" t="s">
        <v>281</v>
      </c>
      <c r="F482" s="1" t="s">
        <v>9</v>
      </c>
    </row>
    <row r="483" spans="1:6" x14ac:dyDescent="0.35">
      <c r="A483" t="str">
        <f t="shared" si="7"/>
        <v>Crataegus monogyna</v>
      </c>
      <c r="B483" s="1" t="s">
        <v>383</v>
      </c>
      <c r="C483" s="1" t="s">
        <v>384</v>
      </c>
      <c r="D483" s="1" t="s">
        <v>81</v>
      </c>
      <c r="E483" s="1" t="s">
        <v>82</v>
      </c>
      <c r="F483" s="1" t="s">
        <v>15</v>
      </c>
    </row>
    <row r="484" spans="1:6" x14ac:dyDescent="0.35">
      <c r="A484" t="str">
        <f t="shared" si="7"/>
        <v>Cydonia oblonga</v>
      </c>
      <c r="B484" s="1" t="s">
        <v>401</v>
      </c>
      <c r="C484" s="1" t="s">
        <v>402</v>
      </c>
      <c r="D484" s="1" t="s">
        <v>81</v>
      </c>
      <c r="E484" s="1" t="s">
        <v>82</v>
      </c>
      <c r="F484" s="1" t="s">
        <v>15</v>
      </c>
    </row>
    <row r="485" spans="1:6" x14ac:dyDescent="0.35">
      <c r="A485" t="str">
        <f t="shared" si="7"/>
        <v>Ficus carica</v>
      </c>
      <c r="B485" s="1" t="s">
        <v>527</v>
      </c>
      <c r="C485" s="1" t="s">
        <v>528</v>
      </c>
      <c r="D485" s="1" t="s">
        <v>162</v>
      </c>
      <c r="E485" s="1" t="s">
        <v>82</v>
      </c>
      <c r="F485" s="1" t="s">
        <v>15</v>
      </c>
    </row>
    <row r="486" spans="1:6" x14ac:dyDescent="0.35">
      <c r="A486" t="str">
        <f t="shared" si="7"/>
        <v>Fraxinus angustifolia</v>
      </c>
      <c r="B486" s="1" t="s">
        <v>532</v>
      </c>
      <c r="C486" s="1" t="s">
        <v>534</v>
      </c>
      <c r="D486" s="1" t="s">
        <v>309</v>
      </c>
      <c r="E486" s="1" t="s">
        <v>277</v>
      </c>
      <c r="F486" s="1" t="s">
        <v>15</v>
      </c>
    </row>
    <row r="487" spans="1:6" x14ac:dyDescent="0.35">
      <c r="A487" t="str">
        <f t="shared" si="7"/>
        <v>Genista hirsuta</v>
      </c>
      <c r="B487" s="1" t="s">
        <v>551</v>
      </c>
      <c r="C487" s="1" t="s">
        <v>525</v>
      </c>
      <c r="D487" s="1" t="s">
        <v>13</v>
      </c>
      <c r="E487" s="1" t="s">
        <v>14</v>
      </c>
      <c r="F487" s="1" t="s">
        <v>15</v>
      </c>
    </row>
    <row r="488" spans="1:6" x14ac:dyDescent="0.35">
      <c r="A488" t="str">
        <f t="shared" si="7"/>
        <v>Hedera helix</v>
      </c>
      <c r="B488" s="1" t="s">
        <v>1295</v>
      </c>
      <c r="C488" s="1" t="s">
        <v>1296</v>
      </c>
      <c r="D488" s="1" t="s">
        <v>419</v>
      </c>
      <c r="E488" s="1" t="s">
        <v>420</v>
      </c>
      <c r="F488" s="1" t="s">
        <v>15</v>
      </c>
    </row>
    <row r="489" spans="1:6" x14ac:dyDescent="0.35">
      <c r="A489" t="str">
        <f t="shared" si="7"/>
        <v>Chrysojasminum fruticans</v>
      </c>
      <c r="B489" s="1" t="s">
        <v>319</v>
      </c>
      <c r="C489" s="1" t="s">
        <v>320</v>
      </c>
      <c r="D489" s="1" t="s">
        <v>309</v>
      </c>
      <c r="E489" s="1" t="s">
        <v>277</v>
      </c>
      <c r="F489" s="1" t="s">
        <v>15</v>
      </c>
    </row>
    <row r="490" spans="1:6" x14ac:dyDescent="0.35">
      <c r="A490" t="str">
        <f t="shared" si="7"/>
        <v>Lavandula multifida</v>
      </c>
      <c r="B490" s="1" t="s">
        <v>654</v>
      </c>
      <c r="C490" s="1" t="s">
        <v>655</v>
      </c>
      <c r="D490" s="1" t="s">
        <v>646</v>
      </c>
      <c r="E490" s="1" t="s">
        <v>277</v>
      </c>
      <c r="F490" s="1" t="s">
        <v>15</v>
      </c>
    </row>
    <row r="491" spans="1:6" x14ac:dyDescent="0.35">
      <c r="A491" t="str">
        <f t="shared" si="7"/>
        <v>Myrtus communis</v>
      </c>
      <c r="B491" s="1" t="s">
        <v>807</v>
      </c>
      <c r="C491" s="1" t="s">
        <v>629</v>
      </c>
      <c r="D491" s="1" t="s">
        <v>222</v>
      </c>
      <c r="E491" s="1" t="s">
        <v>213</v>
      </c>
      <c r="F491" s="1" t="s">
        <v>15</v>
      </c>
    </row>
    <row r="492" spans="1:6" x14ac:dyDescent="0.35">
      <c r="A492" t="str">
        <f t="shared" si="7"/>
        <v>Nerium oleander</v>
      </c>
      <c r="B492" s="1" t="s">
        <v>826</v>
      </c>
      <c r="C492" s="1" t="s">
        <v>827</v>
      </c>
      <c r="D492" s="1" t="s">
        <v>124</v>
      </c>
      <c r="E492" s="1" t="s">
        <v>66</v>
      </c>
      <c r="F492" s="1" t="s">
        <v>15</v>
      </c>
    </row>
    <row r="493" spans="1:6" x14ac:dyDescent="0.35">
      <c r="A493" t="str">
        <f t="shared" si="7"/>
        <v>Nerium oleander</v>
      </c>
      <c r="B493" s="1" t="s">
        <v>826</v>
      </c>
      <c r="C493" s="1" t="s">
        <v>827</v>
      </c>
      <c r="D493" s="1" t="s">
        <v>124</v>
      </c>
      <c r="E493" s="1" t="s">
        <v>66</v>
      </c>
      <c r="F493" s="1" t="s">
        <v>326</v>
      </c>
    </row>
    <row r="494" spans="1:6" x14ac:dyDescent="0.35">
      <c r="A494" t="str">
        <f t="shared" si="7"/>
        <v>Phillyrea angustifolia</v>
      </c>
      <c r="B494" s="1" t="s">
        <v>891</v>
      </c>
      <c r="C494" s="1" t="s">
        <v>534</v>
      </c>
      <c r="D494" s="1" t="s">
        <v>309</v>
      </c>
      <c r="E494" s="1" t="s">
        <v>277</v>
      </c>
      <c r="F494" s="1" t="s">
        <v>15</v>
      </c>
    </row>
    <row r="495" spans="1:6" x14ac:dyDescent="0.35">
      <c r="A495" t="str">
        <f t="shared" si="7"/>
        <v>Phillyrea latifolia</v>
      </c>
      <c r="B495" s="1" t="s">
        <v>891</v>
      </c>
      <c r="C495" s="1" t="s">
        <v>892</v>
      </c>
      <c r="D495" s="1" t="s">
        <v>309</v>
      </c>
      <c r="E495" s="1" t="s">
        <v>277</v>
      </c>
      <c r="F495" s="1" t="s">
        <v>15</v>
      </c>
    </row>
    <row r="496" spans="1:6" x14ac:dyDescent="0.35">
      <c r="A496" t="str">
        <f t="shared" si="7"/>
        <v>Phlomis purpurea</v>
      </c>
      <c r="B496" s="1" t="s">
        <v>893</v>
      </c>
      <c r="C496" s="1" t="s">
        <v>894</v>
      </c>
      <c r="D496" s="1" t="s">
        <v>646</v>
      </c>
      <c r="E496" s="1" t="s">
        <v>277</v>
      </c>
      <c r="F496" s="1" t="s">
        <v>15</v>
      </c>
    </row>
    <row r="497" spans="1:6" x14ac:dyDescent="0.35">
      <c r="A497" t="str">
        <f t="shared" si="7"/>
        <v>Pinus pinea</v>
      </c>
      <c r="B497" s="1" t="s">
        <v>905</v>
      </c>
      <c r="C497" s="1" t="s">
        <v>1297</v>
      </c>
      <c r="D497" s="1" t="s">
        <v>7</v>
      </c>
      <c r="E497" s="1" t="s">
        <v>8</v>
      </c>
      <c r="F497" s="1" t="s">
        <v>9</v>
      </c>
    </row>
    <row r="498" spans="1:6" x14ac:dyDescent="0.35">
      <c r="A498" t="str">
        <f t="shared" si="7"/>
        <v>Pistacia lentiscus</v>
      </c>
      <c r="B498" s="1" t="s">
        <v>914</v>
      </c>
      <c r="C498" s="1" t="s">
        <v>915</v>
      </c>
      <c r="D498" s="1" t="s">
        <v>312</v>
      </c>
      <c r="E498" s="1" t="s">
        <v>22</v>
      </c>
      <c r="F498" s="1" t="s">
        <v>15</v>
      </c>
    </row>
    <row r="499" spans="1:6" x14ac:dyDescent="0.35">
      <c r="A499" t="str">
        <f t="shared" si="7"/>
        <v>Pistacia terebinthus</v>
      </c>
      <c r="B499" s="1" t="s">
        <v>914</v>
      </c>
      <c r="C499" s="1" t="s">
        <v>916</v>
      </c>
      <c r="D499" s="1" t="s">
        <v>312</v>
      </c>
      <c r="E499" s="1" t="s">
        <v>22</v>
      </c>
      <c r="F499" s="1" t="s">
        <v>15</v>
      </c>
    </row>
    <row r="500" spans="1:6" x14ac:dyDescent="0.35">
      <c r="A500" t="str">
        <f t="shared" si="7"/>
        <v>Populus alba</v>
      </c>
      <c r="B500" s="1" t="s">
        <v>938</v>
      </c>
      <c r="C500" s="1" t="s">
        <v>6</v>
      </c>
      <c r="D500" s="1" t="s">
        <v>939</v>
      </c>
      <c r="E500" s="1" t="s">
        <v>92</v>
      </c>
      <c r="F500" s="1" t="s">
        <v>9</v>
      </c>
    </row>
    <row r="501" spans="1:6" x14ac:dyDescent="0.35">
      <c r="A501" t="str">
        <f t="shared" si="7"/>
        <v>Pyrus bourgaeana</v>
      </c>
      <c r="B501" s="1" t="s">
        <v>1009</v>
      </c>
      <c r="C501" s="1" t="s">
        <v>1011</v>
      </c>
      <c r="D501" s="1" t="s">
        <v>81</v>
      </c>
      <c r="E501" s="1" t="s">
        <v>82</v>
      </c>
      <c r="F501" s="1" t="s">
        <v>15</v>
      </c>
    </row>
    <row r="502" spans="1:6" x14ac:dyDescent="0.35">
      <c r="A502" t="str">
        <f t="shared" si="7"/>
        <v>Quercus coccifera</v>
      </c>
      <c r="B502" s="1" t="s">
        <v>1012</v>
      </c>
      <c r="C502" s="1" t="s">
        <v>1015</v>
      </c>
      <c r="D502" s="1" t="s">
        <v>265</v>
      </c>
      <c r="E502" s="1" t="s">
        <v>110</v>
      </c>
      <c r="F502" s="1" t="s">
        <v>9</v>
      </c>
    </row>
    <row r="503" spans="1:6" x14ac:dyDescent="0.35">
      <c r="A503" t="str">
        <f t="shared" si="7"/>
        <v>Quercus faginea</v>
      </c>
      <c r="B503" s="1" t="s">
        <v>1012</v>
      </c>
      <c r="C503" s="1" t="s">
        <v>1016</v>
      </c>
      <c r="D503" s="1" t="s">
        <v>265</v>
      </c>
      <c r="E503" s="1" t="s">
        <v>110</v>
      </c>
      <c r="F503" s="1" t="s">
        <v>9</v>
      </c>
    </row>
    <row r="504" spans="1:6" x14ac:dyDescent="0.35">
      <c r="A504" t="str">
        <f t="shared" si="7"/>
        <v>Quercus ilex</v>
      </c>
      <c r="B504" s="1" t="s">
        <v>1012</v>
      </c>
      <c r="C504" s="1" t="s">
        <v>1017</v>
      </c>
      <c r="D504" s="1" t="s">
        <v>265</v>
      </c>
      <c r="E504" s="1" t="s">
        <v>110</v>
      </c>
      <c r="F504" s="1" t="s">
        <v>9</v>
      </c>
    </row>
    <row r="505" spans="1:6" x14ac:dyDescent="0.35">
      <c r="A505" t="str">
        <f t="shared" si="7"/>
        <v>Rhamnus lycioides</v>
      </c>
      <c r="B505" s="1" t="s">
        <v>1029</v>
      </c>
      <c r="C505" s="1" t="s">
        <v>1032</v>
      </c>
      <c r="D505" s="1" t="s">
        <v>1031</v>
      </c>
      <c r="E505" s="1" t="s">
        <v>82</v>
      </c>
      <c r="F505" s="1" t="s">
        <v>15</v>
      </c>
    </row>
    <row r="506" spans="1:6" x14ac:dyDescent="0.35">
      <c r="A506" t="str">
        <f t="shared" si="7"/>
        <v>Rosa canina</v>
      </c>
      <c r="B506" s="1" t="s">
        <v>1044</v>
      </c>
      <c r="C506" s="1" t="s">
        <v>1046</v>
      </c>
      <c r="D506" s="1" t="s">
        <v>81</v>
      </c>
      <c r="E506" s="1" t="s">
        <v>82</v>
      </c>
      <c r="F506" s="1" t="s">
        <v>15</v>
      </c>
    </row>
    <row r="507" spans="1:6" x14ac:dyDescent="0.35">
      <c r="A507" t="str">
        <f t="shared" si="7"/>
        <v>Salvia rosmarinus</v>
      </c>
      <c r="B507" s="1" t="s">
        <v>1063</v>
      </c>
      <c r="C507" s="1" t="s">
        <v>1064</v>
      </c>
      <c r="D507" s="1" t="s">
        <v>646</v>
      </c>
      <c r="E507" s="1" t="s">
        <v>277</v>
      </c>
      <c r="F507" s="1" t="s">
        <v>15</v>
      </c>
    </row>
    <row r="508" spans="1:6" x14ac:dyDescent="0.35">
      <c r="A508" t="str">
        <f t="shared" si="7"/>
        <v>Rubus ulmifolius</v>
      </c>
      <c r="B508" s="1" t="s">
        <v>1048</v>
      </c>
      <c r="C508" s="1" t="s">
        <v>1055</v>
      </c>
      <c r="D508" s="1" t="s">
        <v>81</v>
      </c>
      <c r="E508" s="1" t="s">
        <v>82</v>
      </c>
      <c r="F508" s="1" t="s">
        <v>15</v>
      </c>
    </row>
    <row r="509" spans="1:6" x14ac:dyDescent="0.35">
      <c r="A509" t="str">
        <f t="shared" si="7"/>
        <v>Salix atrocinerea</v>
      </c>
      <c r="B509" s="1" t="s">
        <v>1059</v>
      </c>
      <c r="C509" s="1" t="s">
        <v>1060</v>
      </c>
      <c r="D509" s="1" t="s">
        <v>939</v>
      </c>
      <c r="E509" s="1" t="s">
        <v>92</v>
      </c>
      <c r="F509" s="1" t="s">
        <v>9</v>
      </c>
    </row>
    <row r="510" spans="1:6" x14ac:dyDescent="0.35">
      <c r="A510" t="str">
        <f t="shared" si="7"/>
        <v>Smilax aspera</v>
      </c>
      <c r="B510" s="1" t="s">
        <v>1094</v>
      </c>
      <c r="C510" s="1" t="s">
        <v>951</v>
      </c>
      <c r="D510" s="1" t="s">
        <v>1095</v>
      </c>
      <c r="E510" s="1" t="s">
        <v>1096</v>
      </c>
      <c r="F510" s="1" t="s">
        <v>15</v>
      </c>
    </row>
    <row r="511" spans="1:6" x14ac:dyDescent="0.35">
      <c r="A511" t="str">
        <f t="shared" si="7"/>
        <v>Teucrium fruticans</v>
      </c>
      <c r="B511" s="1" t="s">
        <v>1149</v>
      </c>
      <c r="C511" s="1" t="s">
        <v>320</v>
      </c>
      <c r="D511" s="1" t="s">
        <v>646</v>
      </c>
      <c r="E511" s="1" t="s">
        <v>277</v>
      </c>
      <c r="F511" s="1" t="s">
        <v>15</v>
      </c>
    </row>
    <row r="512" spans="1:6" x14ac:dyDescent="0.35">
      <c r="A512" t="str">
        <f t="shared" si="7"/>
        <v>Ulmus minor</v>
      </c>
      <c r="B512" s="1" t="s">
        <v>1167</v>
      </c>
      <c r="C512" s="1" t="s">
        <v>866</v>
      </c>
      <c r="D512" s="1" t="s">
        <v>1168</v>
      </c>
      <c r="E512" s="1" t="s">
        <v>82</v>
      </c>
      <c r="F512" s="1" t="s">
        <v>15</v>
      </c>
    </row>
    <row r="513" spans="1:6" x14ac:dyDescent="0.35">
      <c r="A513" t="str">
        <f t="shared" si="7"/>
        <v>Viburnum tinus</v>
      </c>
      <c r="B513" s="1" t="s">
        <v>1180</v>
      </c>
      <c r="C513" s="1" t="s">
        <v>1182</v>
      </c>
      <c r="D513" s="1" t="s">
        <v>1067</v>
      </c>
      <c r="E513" s="1" t="s">
        <v>708</v>
      </c>
      <c r="F513" s="1" t="s">
        <v>15</v>
      </c>
    </row>
    <row r="514" spans="1:6" x14ac:dyDescent="0.35">
      <c r="A514" t="str">
        <f t="shared" si="7"/>
        <v>Vitis vinifera</v>
      </c>
      <c r="B514" s="1" t="s">
        <v>1185</v>
      </c>
      <c r="C514" s="1" t="s">
        <v>1186</v>
      </c>
      <c r="D514" s="1" t="s">
        <v>879</v>
      </c>
      <c r="E514" s="1" t="s">
        <v>880</v>
      </c>
      <c r="F514" s="1" t="s">
        <v>15</v>
      </c>
    </row>
    <row r="515" spans="1:6" x14ac:dyDescent="0.35">
      <c r="A515" t="str">
        <f t="shared" ref="A515:A578" si="8">_xlfn.CONCAT($B515, " ", $C515)</f>
        <v>Lygodesmia juncea</v>
      </c>
      <c r="B515" s="1" t="s">
        <v>1298</v>
      </c>
      <c r="C515" s="1" t="s">
        <v>1299</v>
      </c>
      <c r="D515" s="1" t="s">
        <v>57</v>
      </c>
      <c r="E515" s="1" t="s">
        <v>58</v>
      </c>
      <c r="F515" s="1" t="s">
        <v>15</v>
      </c>
    </row>
    <row r="516" spans="1:6" x14ac:dyDescent="0.35">
      <c r="A516" t="str">
        <f t="shared" si="8"/>
        <v>Artemisia frigida</v>
      </c>
      <c r="B516" s="1" t="s">
        <v>157</v>
      </c>
      <c r="C516" s="1" t="s">
        <v>1300</v>
      </c>
      <c r="D516" s="1" t="s">
        <v>57</v>
      </c>
      <c r="E516" s="1" t="s">
        <v>58</v>
      </c>
      <c r="F516" s="1" t="s">
        <v>15</v>
      </c>
    </row>
    <row r="517" spans="1:6" x14ac:dyDescent="0.35">
      <c r="A517" t="str">
        <f t="shared" si="8"/>
        <v>Symphyotrichum falcatum</v>
      </c>
      <c r="B517" s="1" t="s">
        <v>1301</v>
      </c>
      <c r="C517" s="1" t="s">
        <v>1302</v>
      </c>
      <c r="D517" s="1" t="s">
        <v>57</v>
      </c>
      <c r="E517" s="1" t="s">
        <v>58</v>
      </c>
      <c r="F517" s="1" t="s">
        <v>15</v>
      </c>
    </row>
    <row r="518" spans="1:6" x14ac:dyDescent="0.35">
      <c r="A518" t="str">
        <f t="shared" si="8"/>
        <v>Campanula rotundifolia</v>
      </c>
      <c r="B518" s="1" t="s">
        <v>1303</v>
      </c>
      <c r="C518" s="1" t="s">
        <v>1304</v>
      </c>
      <c r="D518" s="1" t="s">
        <v>1305</v>
      </c>
      <c r="E518" s="1" t="s">
        <v>58</v>
      </c>
      <c r="F518" s="1" t="s">
        <v>15</v>
      </c>
    </row>
    <row r="519" spans="1:6" x14ac:dyDescent="0.35">
      <c r="A519" t="str">
        <f t="shared" si="8"/>
        <v>Campanula rotundifolia</v>
      </c>
      <c r="B519" s="1" t="s">
        <v>1303</v>
      </c>
      <c r="C519" s="1" t="s">
        <v>1304</v>
      </c>
      <c r="D519" s="1" t="s">
        <v>1305</v>
      </c>
      <c r="E519" s="1" t="s">
        <v>58</v>
      </c>
      <c r="F519" s="1" t="s">
        <v>326</v>
      </c>
    </row>
    <row r="520" spans="1:6" x14ac:dyDescent="0.35">
      <c r="A520" t="str">
        <f t="shared" si="8"/>
        <v>Carex obtusata</v>
      </c>
      <c r="B520" s="1" t="s">
        <v>1237</v>
      </c>
      <c r="C520" s="1" t="s">
        <v>1306</v>
      </c>
      <c r="D520" s="1" t="s">
        <v>542</v>
      </c>
      <c r="E520" s="1" t="s">
        <v>543</v>
      </c>
      <c r="F520" s="1" t="s">
        <v>50</v>
      </c>
    </row>
    <row r="521" spans="1:6" x14ac:dyDescent="0.35">
      <c r="A521" t="str">
        <f t="shared" si="8"/>
        <v>Cerastium arvense</v>
      </c>
      <c r="B521" s="1" t="s">
        <v>1307</v>
      </c>
      <c r="C521" s="1" t="s">
        <v>1308</v>
      </c>
      <c r="D521" s="1" t="s">
        <v>1211</v>
      </c>
      <c r="E521" s="1" t="s">
        <v>306</v>
      </c>
      <c r="F521" s="1" t="s">
        <v>15</v>
      </c>
    </row>
    <row r="522" spans="1:6" x14ac:dyDescent="0.35">
      <c r="A522" t="str">
        <f t="shared" si="8"/>
        <v>Cerastium arvense</v>
      </c>
      <c r="B522" s="1" t="s">
        <v>1307</v>
      </c>
      <c r="C522" s="1" t="s">
        <v>1308</v>
      </c>
      <c r="D522" s="1" t="s">
        <v>1211</v>
      </c>
      <c r="E522" s="1" t="s">
        <v>306</v>
      </c>
      <c r="F522" s="1" t="s">
        <v>326</v>
      </c>
    </row>
    <row r="523" spans="1:6" x14ac:dyDescent="0.35">
      <c r="A523" t="str">
        <f t="shared" si="8"/>
        <v>Cerastium arvense</v>
      </c>
      <c r="B523" s="1" t="s">
        <v>1307</v>
      </c>
      <c r="C523" s="1" t="s">
        <v>1308</v>
      </c>
      <c r="D523" s="1" t="s">
        <v>1211</v>
      </c>
      <c r="E523" s="1" t="s">
        <v>306</v>
      </c>
      <c r="F523" s="1" t="s">
        <v>50</v>
      </c>
    </row>
    <row r="524" spans="1:6" x14ac:dyDescent="0.35">
      <c r="A524" t="str">
        <f t="shared" si="8"/>
        <v>Descurainia sophia</v>
      </c>
      <c r="B524" s="1" t="s">
        <v>1309</v>
      </c>
      <c r="C524" s="1" t="s">
        <v>1310</v>
      </c>
      <c r="D524" s="1" t="s">
        <v>1311</v>
      </c>
      <c r="E524" s="1" t="s">
        <v>1312</v>
      </c>
      <c r="F524" s="1" t="s">
        <v>326</v>
      </c>
    </row>
    <row r="525" spans="1:6" x14ac:dyDescent="0.35">
      <c r="A525" t="str">
        <f t="shared" si="8"/>
        <v>Krascheninnikovia ceratoides</v>
      </c>
      <c r="B525" s="1" t="s">
        <v>1313</v>
      </c>
      <c r="C525" s="1" t="s">
        <v>1314</v>
      </c>
      <c r="D525" s="1" t="s">
        <v>305</v>
      </c>
      <c r="E525" s="1" t="s">
        <v>306</v>
      </c>
      <c r="F525" s="1" t="s">
        <v>15</v>
      </c>
    </row>
    <row r="526" spans="1:6" x14ac:dyDescent="0.35">
      <c r="A526" t="str">
        <f t="shared" si="8"/>
        <v>Galium boreale</v>
      </c>
      <c r="B526" s="1" t="s">
        <v>545</v>
      </c>
      <c r="C526" s="1" t="s">
        <v>1315</v>
      </c>
      <c r="D526" s="1" t="s">
        <v>65</v>
      </c>
      <c r="E526" s="1" t="s">
        <v>66</v>
      </c>
      <c r="F526" s="1" t="s">
        <v>15</v>
      </c>
    </row>
    <row r="527" spans="1:6" x14ac:dyDescent="0.35">
      <c r="A527" t="str">
        <f t="shared" si="8"/>
        <v>Koeleria macrantha</v>
      </c>
      <c r="B527" s="1" t="s">
        <v>1244</v>
      </c>
      <c r="C527" s="1" t="s">
        <v>1316</v>
      </c>
      <c r="D527" s="1" t="s">
        <v>1214</v>
      </c>
      <c r="E527" s="1" t="s">
        <v>543</v>
      </c>
      <c r="F527" s="1" t="s">
        <v>15</v>
      </c>
    </row>
    <row r="528" spans="1:6" x14ac:dyDescent="0.35">
      <c r="A528" t="str">
        <f t="shared" si="8"/>
        <v>Lactuca tatarica</v>
      </c>
      <c r="B528" s="1" t="s">
        <v>1317</v>
      </c>
      <c r="C528" s="1" t="s">
        <v>1318</v>
      </c>
      <c r="D528" s="1" t="s">
        <v>57</v>
      </c>
      <c r="E528" s="1" t="s">
        <v>58</v>
      </c>
      <c r="F528" s="1" t="s">
        <v>15</v>
      </c>
    </row>
    <row r="529" spans="1:6" x14ac:dyDescent="0.35">
      <c r="A529" t="str">
        <f t="shared" si="8"/>
        <v>Magnolia macrophylla</v>
      </c>
      <c r="B529" s="1" t="s">
        <v>724</v>
      </c>
      <c r="C529" s="1" t="s">
        <v>473</v>
      </c>
      <c r="D529" s="1" t="s">
        <v>687</v>
      </c>
      <c r="E529" s="1" t="s">
        <v>170</v>
      </c>
      <c r="F529" s="1" t="s">
        <v>15</v>
      </c>
    </row>
    <row r="530" spans="1:6" x14ac:dyDescent="0.35">
      <c r="A530" t="str">
        <f t="shared" si="8"/>
        <v>Magnolia virginiana</v>
      </c>
      <c r="B530" s="1" t="s">
        <v>724</v>
      </c>
      <c r="C530" s="1" t="s">
        <v>444</v>
      </c>
      <c r="D530" s="1" t="s">
        <v>687</v>
      </c>
      <c r="E530" s="1" t="s">
        <v>170</v>
      </c>
      <c r="F530" s="1" t="s">
        <v>15</v>
      </c>
    </row>
    <row r="531" spans="1:6" x14ac:dyDescent="0.35">
      <c r="A531" t="str">
        <f t="shared" si="8"/>
        <v>Leymus chinensis</v>
      </c>
      <c r="B531" s="1" t="s">
        <v>1319</v>
      </c>
      <c r="C531" s="1" t="s">
        <v>390</v>
      </c>
      <c r="D531" s="1" t="s">
        <v>1214</v>
      </c>
      <c r="E531" s="1" t="s">
        <v>543</v>
      </c>
      <c r="F531" s="1" t="s">
        <v>15</v>
      </c>
    </row>
    <row r="532" spans="1:6" x14ac:dyDescent="0.35">
      <c r="A532" t="str">
        <f t="shared" si="8"/>
        <v>Stipa krylovii</v>
      </c>
      <c r="B532" s="1" t="s">
        <v>1281</v>
      </c>
      <c r="C532" s="1" t="s">
        <v>1320</v>
      </c>
      <c r="D532" s="1" t="s">
        <v>1214</v>
      </c>
      <c r="E532" s="1" t="s">
        <v>543</v>
      </c>
      <c r="F532" s="1" t="s">
        <v>15</v>
      </c>
    </row>
    <row r="533" spans="1:6" x14ac:dyDescent="0.35">
      <c r="A533" t="str">
        <f t="shared" si="8"/>
        <v>Agropyron cristatum</v>
      </c>
      <c r="B533" s="1" t="s">
        <v>1321</v>
      </c>
      <c r="C533" s="1" t="s">
        <v>1322</v>
      </c>
      <c r="D533" s="1" t="s">
        <v>1214</v>
      </c>
      <c r="E533" s="1" t="s">
        <v>543</v>
      </c>
      <c r="F533" s="1" t="s">
        <v>15</v>
      </c>
    </row>
    <row r="534" spans="1:6" x14ac:dyDescent="0.35">
      <c r="A534" t="str">
        <f t="shared" si="8"/>
        <v>Cleistogenes squarrosa</v>
      </c>
      <c r="B534" s="1" t="s">
        <v>1323</v>
      </c>
      <c r="C534" s="1" t="s">
        <v>426</v>
      </c>
      <c r="D534" s="1" t="s">
        <v>1214</v>
      </c>
      <c r="E534" s="1" t="s">
        <v>543</v>
      </c>
      <c r="F534" s="1" t="s">
        <v>15</v>
      </c>
    </row>
    <row r="535" spans="1:6" x14ac:dyDescent="0.35">
      <c r="A535" t="str">
        <f t="shared" si="8"/>
        <v>Cleistogenes squarrosa</v>
      </c>
      <c r="B535" s="1" t="s">
        <v>1323</v>
      </c>
      <c r="C535" s="1" t="s">
        <v>426</v>
      </c>
      <c r="D535" s="1" t="s">
        <v>1214</v>
      </c>
      <c r="E535" s="1" t="s">
        <v>543</v>
      </c>
      <c r="F535" s="1" t="s">
        <v>326</v>
      </c>
    </row>
    <row r="536" spans="1:6" x14ac:dyDescent="0.35">
      <c r="A536" t="str">
        <f t="shared" si="8"/>
        <v>Potentilla acaulis</v>
      </c>
      <c r="B536" s="1" t="s">
        <v>944</v>
      </c>
      <c r="C536" s="1" t="s">
        <v>1324</v>
      </c>
      <c r="D536" s="1" t="s">
        <v>81</v>
      </c>
      <c r="E536" s="1" t="s">
        <v>82</v>
      </c>
      <c r="F536" s="1" t="s">
        <v>15</v>
      </c>
    </row>
    <row r="537" spans="1:6" x14ac:dyDescent="0.35">
      <c r="A537" t="str">
        <f t="shared" si="8"/>
        <v>Potentilla tenacetifolia</v>
      </c>
      <c r="B537" s="1" t="s">
        <v>944</v>
      </c>
      <c r="C537" s="1" t="s">
        <v>1325</v>
      </c>
      <c r="D537" s="1" t="s">
        <v>81</v>
      </c>
      <c r="E537" s="1" t="s">
        <v>82</v>
      </c>
      <c r="F537" s="1" t="s">
        <v>15</v>
      </c>
    </row>
    <row r="538" spans="1:6" x14ac:dyDescent="0.35">
      <c r="A538" t="str">
        <f t="shared" si="8"/>
        <v>Sibbaldianthe bifurca</v>
      </c>
      <c r="B538" s="1" t="s">
        <v>1326</v>
      </c>
      <c r="C538" s="1" t="s">
        <v>1327</v>
      </c>
      <c r="D538" s="1" t="s">
        <v>81</v>
      </c>
      <c r="E538" s="1" t="s">
        <v>82</v>
      </c>
      <c r="F538" s="1" t="s">
        <v>15</v>
      </c>
    </row>
    <row r="539" spans="1:6" x14ac:dyDescent="0.35">
      <c r="A539" t="str">
        <f t="shared" si="8"/>
        <v>Medicago ruthenica</v>
      </c>
      <c r="B539" s="1" t="s">
        <v>1224</v>
      </c>
      <c r="C539" s="1" t="s">
        <v>1328</v>
      </c>
      <c r="D539" s="1" t="s">
        <v>13</v>
      </c>
      <c r="E539" s="1" t="s">
        <v>14</v>
      </c>
      <c r="F539" s="1" t="s">
        <v>15</v>
      </c>
    </row>
    <row r="540" spans="1:6" x14ac:dyDescent="0.35">
      <c r="A540" t="str">
        <f t="shared" si="8"/>
        <v>Allium tenuissimum</v>
      </c>
      <c r="B540" s="1" t="s">
        <v>1329</v>
      </c>
      <c r="C540" s="1" t="s">
        <v>1330</v>
      </c>
      <c r="D540" s="1" t="s">
        <v>1331</v>
      </c>
      <c r="E540" s="1" t="s">
        <v>174</v>
      </c>
      <c r="F540" s="1" t="s">
        <v>15</v>
      </c>
    </row>
    <row r="541" spans="1:6" x14ac:dyDescent="0.35">
      <c r="A541" t="str">
        <f t="shared" si="8"/>
        <v>Allium bidentatum</v>
      </c>
      <c r="B541" s="1" t="s">
        <v>1329</v>
      </c>
      <c r="C541" s="1" t="s">
        <v>1332</v>
      </c>
      <c r="D541" s="1" t="s">
        <v>1331</v>
      </c>
      <c r="E541" s="1" t="s">
        <v>174</v>
      </c>
      <c r="F541" s="1" t="s">
        <v>15</v>
      </c>
    </row>
    <row r="542" spans="1:6" x14ac:dyDescent="0.35">
      <c r="A542" t="str">
        <f t="shared" si="8"/>
        <v>Chamaerhodos erecta</v>
      </c>
      <c r="B542" s="1" t="s">
        <v>1333</v>
      </c>
      <c r="C542" s="1" t="s">
        <v>1334</v>
      </c>
      <c r="D542" s="1" t="s">
        <v>81</v>
      </c>
      <c r="E542" s="1" t="s">
        <v>82</v>
      </c>
      <c r="F542" s="1" t="s">
        <v>326</v>
      </c>
    </row>
    <row r="543" spans="1:6" x14ac:dyDescent="0.35">
      <c r="A543" t="str">
        <f t="shared" si="8"/>
        <v>Protium aracouchini</v>
      </c>
      <c r="B543" s="1" t="s">
        <v>952</v>
      </c>
      <c r="C543" s="1" t="s">
        <v>956</v>
      </c>
      <c r="D543" s="1" t="s">
        <v>245</v>
      </c>
      <c r="E543" s="1" t="s">
        <v>22</v>
      </c>
      <c r="F543" s="1" t="s">
        <v>15</v>
      </c>
    </row>
    <row r="544" spans="1:6" x14ac:dyDescent="0.35">
      <c r="A544" t="str">
        <f t="shared" si="8"/>
        <v>Protium opacum</v>
      </c>
      <c r="B544" s="1" t="s">
        <v>952</v>
      </c>
      <c r="C544" s="1" t="s">
        <v>967</v>
      </c>
      <c r="D544" s="1" t="s">
        <v>245</v>
      </c>
      <c r="E544" s="1" t="s">
        <v>22</v>
      </c>
      <c r="F544" s="1" t="s">
        <v>15</v>
      </c>
    </row>
    <row r="545" spans="1:6" x14ac:dyDescent="0.35">
      <c r="A545" t="str">
        <f t="shared" si="8"/>
        <v>Protium subserratum</v>
      </c>
      <c r="B545" s="1" t="s">
        <v>952</v>
      </c>
      <c r="C545" s="1" t="s">
        <v>973</v>
      </c>
      <c r="D545" s="1" t="s">
        <v>245</v>
      </c>
      <c r="E545" s="1" t="s">
        <v>22</v>
      </c>
      <c r="F545" s="1" t="s">
        <v>15</v>
      </c>
    </row>
    <row r="546" spans="1:6" x14ac:dyDescent="0.35">
      <c r="A546" t="str">
        <f t="shared" si="8"/>
        <v>Licania micrantha</v>
      </c>
      <c r="B546" s="1" t="s">
        <v>670</v>
      </c>
      <c r="C546" s="1" t="s">
        <v>674</v>
      </c>
      <c r="D546" s="1" t="s">
        <v>382</v>
      </c>
      <c r="E546" s="1" t="s">
        <v>92</v>
      </c>
      <c r="F546" s="1" t="s">
        <v>15</v>
      </c>
    </row>
    <row r="547" spans="1:6" x14ac:dyDescent="0.35">
      <c r="A547" t="str">
        <f t="shared" si="8"/>
        <v>Inga stipularis</v>
      </c>
      <c r="B547" s="1" t="s">
        <v>600</v>
      </c>
      <c r="C547" s="1" t="s">
        <v>614</v>
      </c>
      <c r="D547" s="1" t="s">
        <v>13</v>
      </c>
      <c r="E547" s="1" t="s">
        <v>14</v>
      </c>
      <c r="F547" s="1" t="s">
        <v>15</v>
      </c>
    </row>
    <row r="548" spans="1:6" x14ac:dyDescent="0.35">
      <c r="A548" t="str">
        <f t="shared" si="8"/>
        <v>Eschweilera coriacea</v>
      </c>
      <c r="B548" s="1" t="s">
        <v>485</v>
      </c>
      <c r="C548" s="1" t="s">
        <v>489</v>
      </c>
      <c r="D548" s="1" t="s">
        <v>101</v>
      </c>
      <c r="E548" s="1" t="s">
        <v>54</v>
      </c>
      <c r="F548" s="1" t="s">
        <v>15</v>
      </c>
    </row>
    <row r="549" spans="1:6" x14ac:dyDescent="0.35">
      <c r="A549" t="str">
        <f t="shared" si="8"/>
        <v>Micropholis egensis</v>
      </c>
      <c r="B549" s="1" t="s">
        <v>776</v>
      </c>
      <c r="C549" s="1" t="s">
        <v>779</v>
      </c>
      <c r="D549" s="1" t="s">
        <v>318</v>
      </c>
      <c r="E549" s="1" t="s">
        <v>54</v>
      </c>
      <c r="F549" s="1" t="s">
        <v>15</v>
      </c>
    </row>
    <row r="550" spans="1:6" x14ac:dyDescent="0.35">
      <c r="A550" t="str">
        <f t="shared" si="8"/>
        <v>Micropholis guyanensis</v>
      </c>
      <c r="B550" s="1" t="s">
        <v>776</v>
      </c>
      <c r="C550" s="1" t="s">
        <v>780</v>
      </c>
      <c r="D550" s="1" t="s">
        <v>318</v>
      </c>
      <c r="E550" s="1" t="s">
        <v>54</v>
      </c>
      <c r="F550" s="1" t="s">
        <v>15</v>
      </c>
    </row>
    <row r="551" spans="1:6" x14ac:dyDescent="0.35">
      <c r="A551" t="str">
        <f t="shared" si="8"/>
        <v>Micropholis venulosa</v>
      </c>
      <c r="B551" s="1" t="s">
        <v>776</v>
      </c>
      <c r="C551" s="1" t="s">
        <v>783</v>
      </c>
      <c r="D551" s="1" t="s">
        <v>318</v>
      </c>
      <c r="E551" s="1" t="s">
        <v>54</v>
      </c>
      <c r="F551" s="1" t="s">
        <v>15</v>
      </c>
    </row>
    <row r="552" spans="1:6" x14ac:dyDescent="0.35">
      <c r="A552" t="str">
        <f t="shared" si="8"/>
        <v>Mallotus paniculatus</v>
      </c>
      <c r="B552" s="1" t="s">
        <v>745</v>
      </c>
      <c r="C552" s="1" t="s">
        <v>746</v>
      </c>
      <c r="D552" s="1" t="s">
        <v>91</v>
      </c>
      <c r="E552" s="1" t="s">
        <v>92</v>
      </c>
      <c r="F552" s="1" t="s">
        <v>15</v>
      </c>
    </row>
    <row r="553" spans="1:6" x14ac:dyDescent="0.35">
      <c r="A553" t="str">
        <f t="shared" si="8"/>
        <v>Blastus cochinchinensis</v>
      </c>
      <c r="B553" s="1" t="s">
        <v>210</v>
      </c>
      <c r="C553" s="1" t="s">
        <v>211</v>
      </c>
      <c r="D553" s="1" t="s">
        <v>212</v>
      </c>
      <c r="E553" s="1" t="s">
        <v>213</v>
      </c>
      <c r="F553" s="1" t="s">
        <v>15</v>
      </c>
    </row>
    <row r="554" spans="1:6" x14ac:dyDescent="0.35">
      <c r="A554" t="str">
        <f t="shared" si="8"/>
        <v>Alchornea trewioides</v>
      </c>
      <c r="B554" s="1" t="s">
        <v>89</v>
      </c>
      <c r="C554" s="1" t="s">
        <v>93</v>
      </c>
      <c r="D554" s="1" t="s">
        <v>91</v>
      </c>
      <c r="E554" s="1" t="s">
        <v>92</v>
      </c>
      <c r="F554" s="1" t="s">
        <v>15</v>
      </c>
    </row>
    <row r="555" spans="1:6" x14ac:dyDescent="0.35">
      <c r="A555" t="str">
        <f t="shared" si="8"/>
        <v>Calamus rhabdocladus</v>
      </c>
      <c r="B555" s="1" t="s">
        <v>227</v>
      </c>
      <c r="C555" s="1" t="s">
        <v>228</v>
      </c>
      <c r="D555" s="1" t="s">
        <v>229</v>
      </c>
      <c r="E555" s="1" t="s">
        <v>230</v>
      </c>
      <c r="F555" s="1" t="s">
        <v>15</v>
      </c>
    </row>
    <row r="556" spans="1:6" x14ac:dyDescent="0.35">
      <c r="A556" t="str">
        <f t="shared" si="8"/>
        <v>Cibotium barometz</v>
      </c>
      <c r="B556" s="1" t="s">
        <v>323</v>
      </c>
      <c r="C556" s="1" t="s">
        <v>324</v>
      </c>
      <c r="D556" s="1" t="s">
        <v>325</v>
      </c>
      <c r="E556" s="1" t="s">
        <v>120</v>
      </c>
      <c r="F556" s="1" t="s">
        <v>326</v>
      </c>
    </row>
    <row r="557" spans="1:6" x14ac:dyDescent="0.35">
      <c r="A557" t="str">
        <f t="shared" si="8"/>
        <v>Dicranopteris pedata</v>
      </c>
      <c r="B557" s="1" t="s">
        <v>428</v>
      </c>
      <c r="C557" s="1" t="s">
        <v>429</v>
      </c>
      <c r="D557" s="1" t="s">
        <v>430</v>
      </c>
      <c r="E557" s="1" t="s">
        <v>431</v>
      </c>
      <c r="F557" s="1" t="s">
        <v>326</v>
      </c>
    </row>
    <row r="558" spans="1:6" x14ac:dyDescent="0.35">
      <c r="A558" t="str">
        <f t="shared" si="8"/>
        <v>Machilus nanmu</v>
      </c>
      <c r="B558" s="1" t="s">
        <v>712</v>
      </c>
      <c r="C558" s="1" t="s">
        <v>715</v>
      </c>
      <c r="D558" s="1" t="s">
        <v>132</v>
      </c>
      <c r="E558" s="1" t="s">
        <v>133</v>
      </c>
      <c r="F558" s="1" t="s">
        <v>15</v>
      </c>
    </row>
    <row r="559" spans="1:6" x14ac:dyDescent="0.35">
      <c r="A559" t="str">
        <f t="shared" si="8"/>
        <v>Syzygium jambos</v>
      </c>
      <c r="B559" s="1" t="s">
        <v>1123</v>
      </c>
      <c r="C559" s="1" t="s">
        <v>1129</v>
      </c>
      <c r="D559" s="1" t="s">
        <v>222</v>
      </c>
      <c r="E559" s="1" t="s">
        <v>213</v>
      </c>
      <c r="F559" s="1" t="s">
        <v>9</v>
      </c>
    </row>
    <row r="560" spans="1:6" x14ac:dyDescent="0.35">
      <c r="A560" t="str">
        <f t="shared" si="8"/>
        <v>Blechnopsis orientalis</v>
      </c>
      <c r="B560" s="1" t="s">
        <v>215</v>
      </c>
      <c r="C560" s="1" t="s">
        <v>216</v>
      </c>
      <c r="D560" s="1" t="s">
        <v>217</v>
      </c>
      <c r="E560" s="1" t="s">
        <v>62</v>
      </c>
      <c r="F560" s="1" t="s">
        <v>15</v>
      </c>
    </row>
    <row r="561" spans="1:6" x14ac:dyDescent="0.35">
      <c r="A561" t="str">
        <f t="shared" si="8"/>
        <v>Syzygium acuminatissimum</v>
      </c>
      <c r="B561" s="1" t="s">
        <v>1123</v>
      </c>
      <c r="C561" s="1" t="s">
        <v>1124</v>
      </c>
      <c r="D561" s="1" t="s">
        <v>222</v>
      </c>
      <c r="E561" s="1" t="s">
        <v>213</v>
      </c>
      <c r="F561" s="1" t="s">
        <v>15</v>
      </c>
    </row>
    <row r="562" spans="1:6" x14ac:dyDescent="0.35">
      <c r="A562" t="str">
        <f t="shared" si="8"/>
        <v>Heptapleurum heptaphyllum</v>
      </c>
      <c r="B562" s="1" t="s">
        <v>582</v>
      </c>
      <c r="C562" s="1" t="s">
        <v>583</v>
      </c>
      <c r="D562" s="1" t="s">
        <v>419</v>
      </c>
      <c r="E562" s="1" t="s">
        <v>420</v>
      </c>
      <c r="F562" s="1" t="s">
        <v>15</v>
      </c>
    </row>
    <row r="563" spans="1:6" x14ac:dyDescent="0.35">
      <c r="A563" t="str">
        <f t="shared" si="8"/>
        <v>Caryota maxima</v>
      </c>
      <c r="B563" s="1" t="s">
        <v>261</v>
      </c>
      <c r="C563" s="1" t="s">
        <v>262</v>
      </c>
      <c r="D563" s="1" t="s">
        <v>229</v>
      </c>
      <c r="E563" s="1" t="s">
        <v>230</v>
      </c>
      <c r="F563" s="1" t="s">
        <v>15</v>
      </c>
    </row>
    <row r="564" spans="1:6" x14ac:dyDescent="0.35">
      <c r="A564" t="str">
        <f t="shared" si="8"/>
        <v>Podocarpus neriifolius</v>
      </c>
      <c r="B564" s="1" t="s">
        <v>929</v>
      </c>
      <c r="C564" s="1" t="s">
        <v>932</v>
      </c>
      <c r="D564" s="1" t="s">
        <v>405</v>
      </c>
      <c r="E564" s="1" t="s">
        <v>74</v>
      </c>
      <c r="F564" s="1" t="s">
        <v>15</v>
      </c>
    </row>
    <row r="565" spans="1:6" x14ac:dyDescent="0.35">
      <c r="A565" t="str">
        <f t="shared" si="8"/>
        <v>Eleutherococcus senticosus</v>
      </c>
      <c r="B565" s="1" t="s">
        <v>461</v>
      </c>
      <c r="C565" s="1" t="s">
        <v>462</v>
      </c>
      <c r="D565" s="1" t="s">
        <v>419</v>
      </c>
      <c r="E565" s="1" t="s">
        <v>420</v>
      </c>
      <c r="F565" s="1" t="s">
        <v>15</v>
      </c>
    </row>
    <row r="566" spans="1:6" x14ac:dyDescent="0.35">
      <c r="A566" t="str">
        <f t="shared" si="8"/>
        <v>Deutzia grandiflora</v>
      </c>
      <c r="B566" s="1" t="s">
        <v>421</v>
      </c>
      <c r="C566" s="1" t="s">
        <v>424</v>
      </c>
      <c r="D566" s="1" t="s">
        <v>423</v>
      </c>
      <c r="E566" s="1" t="s">
        <v>88</v>
      </c>
      <c r="F566" s="1" t="s">
        <v>15</v>
      </c>
    </row>
    <row r="567" spans="1:6" x14ac:dyDescent="0.35">
      <c r="A567" t="str">
        <f t="shared" si="8"/>
        <v>Nabalus tatarinowii</v>
      </c>
      <c r="B567" s="1" t="s">
        <v>808</v>
      </c>
      <c r="C567" s="1" t="s">
        <v>809</v>
      </c>
      <c r="D567" s="1" t="s">
        <v>57</v>
      </c>
      <c r="E567" s="1" t="s">
        <v>58</v>
      </c>
      <c r="F567" s="1" t="s">
        <v>15</v>
      </c>
    </row>
    <row r="568" spans="1:6" x14ac:dyDescent="0.35">
      <c r="A568" t="str">
        <f t="shared" si="8"/>
        <v>Aster scaber</v>
      </c>
      <c r="B568" s="1" t="s">
        <v>182</v>
      </c>
      <c r="C568" s="1" t="s">
        <v>183</v>
      </c>
      <c r="D568" s="1" t="s">
        <v>57</v>
      </c>
      <c r="E568" s="1" t="s">
        <v>58</v>
      </c>
      <c r="F568" s="1" t="s">
        <v>15</v>
      </c>
    </row>
    <row r="569" spans="1:6" x14ac:dyDescent="0.35">
      <c r="A569" t="str">
        <f t="shared" si="8"/>
        <v>Lespedeza bicolor</v>
      </c>
      <c r="B569" s="1" t="s">
        <v>668</v>
      </c>
      <c r="C569" s="1" t="s">
        <v>669</v>
      </c>
      <c r="D569" s="1" t="s">
        <v>13</v>
      </c>
      <c r="E569" s="1" t="s">
        <v>14</v>
      </c>
      <c r="F569" s="1" t="s">
        <v>15</v>
      </c>
    </row>
    <row r="570" spans="1:6" x14ac:dyDescent="0.35">
      <c r="A570" t="str">
        <f t="shared" si="8"/>
        <v>Saussurea mongolica</v>
      </c>
      <c r="B570" s="1" t="s">
        <v>1076</v>
      </c>
      <c r="C570" s="1" t="s">
        <v>159</v>
      </c>
      <c r="D570" s="1" t="s">
        <v>57</v>
      </c>
      <c r="E570" s="1" t="s">
        <v>58</v>
      </c>
      <c r="F570" s="1" t="s">
        <v>15</v>
      </c>
    </row>
    <row r="571" spans="1:6" x14ac:dyDescent="0.35">
      <c r="A571" t="str">
        <f t="shared" si="8"/>
        <v>Veratrum nigrum</v>
      </c>
      <c r="B571" s="1" t="s">
        <v>1174</v>
      </c>
      <c r="C571" s="1" t="s">
        <v>1175</v>
      </c>
      <c r="D571" s="1" t="s">
        <v>1176</v>
      </c>
      <c r="E571" s="1" t="s">
        <v>1096</v>
      </c>
      <c r="F571" s="1" t="s">
        <v>15</v>
      </c>
    </row>
    <row r="572" spans="1:6" x14ac:dyDescent="0.35">
      <c r="A572" t="str">
        <f t="shared" si="8"/>
        <v>Convallaria majalis</v>
      </c>
      <c r="B572" s="1" t="s">
        <v>348</v>
      </c>
      <c r="C572" s="1" t="s">
        <v>349</v>
      </c>
      <c r="D572" s="1" t="s">
        <v>173</v>
      </c>
      <c r="E572" s="1" t="s">
        <v>174</v>
      </c>
      <c r="F572" s="1" t="s">
        <v>15</v>
      </c>
    </row>
    <row r="573" spans="1:6" x14ac:dyDescent="0.35">
      <c r="A573" t="str">
        <f t="shared" si="8"/>
        <v>Convallaria majalis</v>
      </c>
      <c r="B573" s="1" t="s">
        <v>348</v>
      </c>
      <c r="C573" s="1" t="s">
        <v>349</v>
      </c>
      <c r="D573" s="1" t="s">
        <v>173</v>
      </c>
      <c r="E573" s="1" t="s">
        <v>174</v>
      </c>
      <c r="F573" s="1" t="s">
        <v>50</v>
      </c>
    </row>
    <row r="574" spans="1:6" x14ac:dyDescent="0.35">
      <c r="A574" t="str">
        <f t="shared" si="8"/>
        <v>Zabelia biflora</v>
      </c>
      <c r="B574" s="1" t="s">
        <v>1196</v>
      </c>
      <c r="C574" s="1" t="s">
        <v>498</v>
      </c>
      <c r="D574" s="1" t="s">
        <v>707</v>
      </c>
      <c r="E574" s="1" t="s">
        <v>708</v>
      </c>
      <c r="F574" s="1" t="s">
        <v>15</v>
      </c>
    </row>
    <row r="575" spans="1:6" x14ac:dyDescent="0.35">
      <c r="A575" t="str">
        <f t="shared" si="8"/>
        <v>Asparagus schoberioides</v>
      </c>
      <c r="B575" s="1" t="s">
        <v>171</v>
      </c>
      <c r="C575" s="1" t="s">
        <v>172</v>
      </c>
      <c r="D575" s="1" t="s">
        <v>173</v>
      </c>
      <c r="E575" s="1" t="s">
        <v>174</v>
      </c>
      <c r="F575" s="1" t="s">
        <v>15</v>
      </c>
    </row>
    <row r="576" spans="1:6" x14ac:dyDescent="0.35">
      <c r="A576" t="str">
        <f t="shared" si="8"/>
        <v>Agrimonia pilosa</v>
      </c>
      <c r="B576" s="1" t="s">
        <v>79</v>
      </c>
      <c r="C576" s="1" t="s">
        <v>80</v>
      </c>
      <c r="D576" s="1" t="s">
        <v>81</v>
      </c>
      <c r="E576" s="1" t="s">
        <v>82</v>
      </c>
      <c r="F576" s="1" t="s">
        <v>15</v>
      </c>
    </row>
    <row r="577" spans="1:6" x14ac:dyDescent="0.35">
      <c r="A577" t="str">
        <f t="shared" si="8"/>
        <v>Veronica spuria</v>
      </c>
      <c r="B577" s="1" t="s">
        <v>1177</v>
      </c>
      <c r="C577" s="1" t="s">
        <v>1178</v>
      </c>
      <c r="D577" s="1" t="s">
        <v>1179</v>
      </c>
      <c r="E577" s="1" t="s">
        <v>277</v>
      </c>
      <c r="F577" s="1" t="s">
        <v>15</v>
      </c>
    </row>
    <row r="578" spans="1:6" x14ac:dyDescent="0.35">
      <c r="A578" t="str">
        <f t="shared" si="8"/>
        <v>Astilbe rubra</v>
      </c>
      <c r="B578" s="1" t="s">
        <v>185</v>
      </c>
      <c r="C578" s="1" t="s">
        <v>189</v>
      </c>
      <c r="D578" s="1" t="s">
        <v>187</v>
      </c>
      <c r="E578" s="1" t="s">
        <v>188</v>
      </c>
      <c r="F578" s="1" t="s">
        <v>15</v>
      </c>
    </row>
    <row r="579" spans="1:6" x14ac:dyDescent="0.35">
      <c r="A579" t="str">
        <f t="shared" ref="A579:A642" si="9">_xlfn.CONCAT($B579, " ", $C579)</f>
        <v>Corylus sieboldiana</v>
      </c>
      <c r="B579" s="1" t="s">
        <v>368</v>
      </c>
      <c r="C579" s="1" t="s">
        <v>370</v>
      </c>
      <c r="D579" s="1" t="s">
        <v>109</v>
      </c>
      <c r="E579" s="1" t="s">
        <v>110</v>
      </c>
      <c r="F579" s="1" t="s">
        <v>9</v>
      </c>
    </row>
    <row r="580" spans="1:6" x14ac:dyDescent="0.35">
      <c r="A580" t="str">
        <f t="shared" si="9"/>
        <v>Aster tataricus</v>
      </c>
      <c r="B580" s="1" t="s">
        <v>182</v>
      </c>
      <c r="C580" s="1" t="s">
        <v>184</v>
      </c>
      <c r="D580" s="1" t="s">
        <v>57</v>
      </c>
      <c r="E580" s="1" t="s">
        <v>58</v>
      </c>
      <c r="F580" s="1" t="s">
        <v>15</v>
      </c>
    </row>
    <row r="581" spans="1:6" x14ac:dyDescent="0.35">
      <c r="A581" t="str">
        <f t="shared" si="9"/>
        <v>Acer pictum</v>
      </c>
      <c r="B581" s="1" t="s">
        <v>19</v>
      </c>
      <c r="C581" s="1" t="s">
        <v>30</v>
      </c>
      <c r="D581" s="1" t="s">
        <v>21</v>
      </c>
      <c r="E581" s="1" t="s">
        <v>22</v>
      </c>
      <c r="F581" s="1" t="s">
        <v>9</v>
      </c>
    </row>
    <row r="582" spans="1:6" x14ac:dyDescent="0.35">
      <c r="A582" t="str">
        <f t="shared" si="9"/>
        <v>Acer pictum</v>
      </c>
      <c r="B582" s="1" t="s">
        <v>19</v>
      </c>
      <c r="C582" s="1" t="s">
        <v>30</v>
      </c>
      <c r="D582" s="1" t="s">
        <v>21</v>
      </c>
      <c r="E582" s="1" t="s">
        <v>22</v>
      </c>
      <c r="F582" s="1" t="s">
        <v>15</v>
      </c>
    </row>
    <row r="583" spans="1:6" x14ac:dyDescent="0.35">
      <c r="A583" t="str">
        <f t="shared" si="9"/>
        <v>Vitis amurensis</v>
      </c>
      <c r="B583" s="1" t="s">
        <v>1185</v>
      </c>
      <c r="C583" s="1" t="s">
        <v>1077</v>
      </c>
      <c r="D583" s="1" t="s">
        <v>879</v>
      </c>
      <c r="E583" s="1" t="s">
        <v>880</v>
      </c>
      <c r="F583" s="1" t="s">
        <v>15</v>
      </c>
    </row>
    <row r="584" spans="1:6" x14ac:dyDescent="0.35">
      <c r="A584" t="str">
        <f t="shared" si="9"/>
        <v>Prunus armeniaca</v>
      </c>
      <c r="B584" s="1" t="s">
        <v>979</v>
      </c>
      <c r="C584" s="1" t="s">
        <v>980</v>
      </c>
      <c r="D584" s="1" t="s">
        <v>81</v>
      </c>
      <c r="E584" s="1" t="s">
        <v>82</v>
      </c>
      <c r="F584" s="1" t="s">
        <v>15</v>
      </c>
    </row>
    <row r="585" spans="1:6" x14ac:dyDescent="0.35">
      <c r="A585" t="str">
        <f t="shared" si="9"/>
        <v>Rubus crataegifolius</v>
      </c>
      <c r="B585" s="1" t="s">
        <v>1048</v>
      </c>
      <c r="C585" s="1" t="s">
        <v>1050</v>
      </c>
      <c r="D585" s="1" t="s">
        <v>81</v>
      </c>
      <c r="E585" s="1" t="s">
        <v>82</v>
      </c>
      <c r="F585" s="1" t="s">
        <v>15</v>
      </c>
    </row>
    <row r="586" spans="1:6" x14ac:dyDescent="0.35">
      <c r="A586" t="str">
        <f t="shared" si="9"/>
        <v>Rhamnus davurica</v>
      </c>
      <c r="B586" s="1" t="s">
        <v>1029</v>
      </c>
      <c r="C586" s="1" t="s">
        <v>1030</v>
      </c>
      <c r="D586" s="1" t="s">
        <v>1031</v>
      </c>
      <c r="E586" s="1" t="s">
        <v>82</v>
      </c>
      <c r="F586" s="1" t="s">
        <v>50</v>
      </c>
    </row>
    <row r="587" spans="1:6" x14ac:dyDescent="0.35">
      <c r="A587" t="str">
        <f t="shared" si="9"/>
        <v>Spiraea ouensanensis</v>
      </c>
      <c r="B587" s="1" t="s">
        <v>1108</v>
      </c>
      <c r="C587" s="1" t="s">
        <v>1109</v>
      </c>
      <c r="D587" s="1" t="s">
        <v>81</v>
      </c>
      <c r="E587" s="1" t="s">
        <v>82</v>
      </c>
      <c r="F587" s="1" t="s">
        <v>15</v>
      </c>
    </row>
    <row r="588" spans="1:6" x14ac:dyDescent="0.35">
      <c r="A588" t="str">
        <f t="shared" si="9"/>
        <v>Galium aparine</v>
      </c>
      <c r="B588" s="1" t="s">
        <v>545</v>
      </c>
      <c r="C588" s="1" t="s">
        <v>546</v>
      </c>
      <c r="D588" s="1" t="s">
        <v>65</v>
      </c>
      <c r="E588" s="1" t="s">
        <v>66</v>
      </c>
      <c r="F588" s="1" t="s">
        <v>15</v>
      </c>
    </row>
    <row r="589" spans="1:6" x14ac:dyDescent="0.35">
      <c r="A589" t="str">
        <f t="shared" si="9"/>
        <v>Galium aparine</v>
      </c>
      <c r="B589" s="1" t="s">
        <v>545</v>
      </c>
      <c r="C589" s="1" t="s">
        <v>546</v>
      </c>
      <c r="D589" s="1" t="s">
        <v>65</v>
      </c>
      <c r="E589" s="1" t="s">
        <v>66</v>
      </c>
      <c r="F589" s="1" t="s">
        <v>50</v>
      </c>
    </row>
    <row r="590" spans="1:6" x14ac:dyDescent="0.35">
      <c r="A590" t="str">
        <f t="shared" si="9"/>
        <v>Saussurea nivea</v>
      </c>
      <c r="B590" s="1" t="s">
        <v>1076</v>
      </c>
      <c r="C590" s="1" t="s">
        <v>1078</v>
      </c>
      <c r="D590" s="1" t="s">
        <v>57</v>
      </c>
      <c r="E590" s="1" t="s">
        <v>58</v>
      </c>
      <c r="F590" s="1" t="s">
        <v>15</v>
      </c>
    </row>
    <row r="591" spans="1:6" x14ac:dyDescent="0.35">
      <c r="A591" t="str">
        <f t="shared" si="9"/>
        <v>Ulmus pumila</v>
      </c>
      <c r="B591" s="1" t="s">
        <v>1167</v>
      </c>
      <c r="C591" s="1" t="s">
        <v>909</v>
      </c>
      <c r="D591" s="1" t="s">
        <v>1168</v>
      </c>
      <c r="E591" s="1" t="s">
        <v>82</v>
      </c>
      <c r="F591" s="1" t="s">
        <v>15</v>
      </c>
    </row>
    <row r="592" spans="1:6" x14ac:dyDescent="0.35">
      <c r="A592" t="str">
        <f t="shared" si="9"/>
        <v>Prunus padus</v>
      </c>
      <c r="B592" s="1" t="s">
        <v>979</v>
      </c>
      <c r="C592" s="1" t="s">
        <v>982</v>
      </c>
      <c r="D592" s="1" t="s">
        <v>81</v>
      </c>
      <c r="E592" s="1" t="s">
        <v>82</v>
      </c>
      <c r="F592" s="1" t="s">
        <v>17</v>
      </c>
    </row>
    <row r="593" spans="1:6" x14ac:dyDescent="0.35">
      <c r="A593" t="str">
        <f t="shared" si="9"/>
        <v>Rosa acicularis</v>
      </c>
      <c r="B593" s="1" t="s">
        <v>1044</v>
      </c>
      <c r="C593" s="1" t="s">
        <v>1045</v>
      </c>
      <c r="D593" s="1" t="s">
        <v>81</v>
      </c>
      <c r="E593" s="1" t="s">
        <v>82</v>
      </c>
      <c r="F593" s="1" t="s">
        <v>15</v>
      </c>
    </row>
    <row r="594" spans="1:6" x14ac:dyDescent="0.35">
      <c r="A594" t="str">
        <f t="shared" si="9"/>
        <v>Rosa acicularis</v>
      </c>
      <c r="B594" s="1" t="s">
        <v>1044</v>
      </c>
      <c r="C594" s="1" t="s">
        <v>1045</v>
      </c>
      <c r="D594" s="1" t="s">
        <v>81</v>
      </c>
      <c r="E594" s="1" t="s">
        <v>82</v>
      </c>
      <c r="F594" s="1" t="s">
        <v>326</v>
      </c>
    </row>
    <row r="595" spans="1:6" x14ac:dyDescent="0.35">
      <c r="A595" t="str">
        <f t="shared" si="9"/>
        <v>Salix viminalis</v>
      </c>
      <c r="B595" s="1" t="s">
        <v>1059</v>
      </c>
      <c r="C595" s="1" t="s">
        <v>1062</v>
      </c>
      <c r="D595" s="1" t="s">
        <v>939</v>
      </c>
      <c r="E595" s="1" t="s">
        <v>92</v>
      </c>
      <c r="F595" s="1" t="s">
        <v>9</v>
      </c>
    </row>
    <row r="596" spans="1:6" x14ac:dyDescent="0.35">
      <c r="A596" t="str">
        <f t="shared" si="9"/>
        <v>Salix viminalis</v>
      </c>
      <c r="B596" s="1" t="s">
        <v>1059</v>
      </c>
      <c r="C596" s="1" t="s">
        <v>1062</v>
      </c>
      <c r="D596" s="1" t="s">
        <v>939</v>
      </c>
      <c r="E596" s="1" t="s">
        <v>92</v>
      </c>
      <c r="F596" s="1" t="s">
        <v>17</v>
      </c>
    </row>
    <row r="597" spans="1:6" x14ac:dyDescent="0.35">
      <c r="A597" t="str">
        <f t="shared" si="9"/>
        <v>Rubus irritans</v>
      </c>
      <c r="B597" s="1" t="s">
        <v>1048</v>
      </c>
      <c r="C597" s="1" t="s">
        <v>1052</v>
      </c>
      <c r="D597" s="1" t="s">
        <v>81</v>
      </c>
      <c r="E597" s="1" t="s">
        <v>82</v>
      </c>
      <c r="F597" s="1" t="s">
        <v>15</v>
      </c>
    </row>
    <row r="598" spans="1:6" x14ac:dyDescent="0.35">
      <c r="A598" t="str">
        <f t="shared" si="9"/>
        <v>Spiraea dahurica</v>
      </c>
      <c r="B598" s="1" t="s">
        <v>1108</v>
      </c>
      <c r="C598" s="1" t="s">
        <v>205</v>
      </c>
      <c r="D598" s="1" t="s">
        <v>81</v>
      </c>
      <c r="E598" s="1" t="s">
        <v>82</v>
      </c>
      <c r="F598" s="1" t="s">
        <v>15</v>
      </c>
    </row>
    <row r="599" spans="1:6" x14ac:dyDescent="0.35">
      <c r="A599" t="str">
        <f t="shared" si="9"/>
        <v>Populus suaveolens</v>
      </c>
      <c r="B599" s="1" t="s">
        <v>938</v>
      </c>
      <c r="C599" s="1" t="s">
        <v>943</v>
      </c>
      <c r="D599" s="1" t="s">
        <v>939</v>
      </c>
      <c r="E599" s="1" t="s">
        <v>92</v>
      </c>
      <c r="F599" s="1" t="s">
        <v>17</v>
      </c>
    </row>
    <row r="600" spans="1:6" x14ac:dyDescent="0.35">
      <c r="A600" t="str">
        <f t="shared" si="9"/>
        <v>Juniperus sabina</v>
      </c>
      <c r="B600" s="1" t="s">
        <v>628</v>
      </c>
      <c r="C600" s="1" t="s">
        <v>630</v>
      </c>
      <c r="D600" s="1" t="s">
        <v>235</v>
      </c>
      <c r="E600" s="1" t="s">
        <v>236</v>
      </c>
      <c r="F600" s="1" t="s">
        <v>15</v>
      </c>
    </row>
    <row r="601" spans="1:6" x14ac:dyDescent="0.35">
      <c r="A601" t="str">
        <f t="shared" si="9"/>
        <v>Pinus pumila</v>
      </c>
      <c r="B601" s="1" t="s">
        <v>905</v>
      </c>
      <c r="C601" s="1" t="s">
        <v>909</v>
      </c>
      <c r="D601" s="1" t="s">
        <v>7</v>
      </c>
      <c r="E601" s="1" t="s">
        <v>8</v>
      </c>
      <c r="F601" s="1" t="s">
        <v>9</v>
      </c>
    </row>
    <row r="602" spans="1:6" x14ac:dyDescent="0.35">
      <c r="A602" t="str">
        <f t="shared" si="9"/>
        <v>Betula fruticosa</v>
      </c>
      <c r="B602" s="1" t="s">
        <v>203</v>
      </c>
      <c r="C602" s="1" t="s">
        <v>206</v>
      </c>
      <c r="D602" s="1" t="s">
        <v>109</v>
      </c>
      <c r="E602" s="1" t="s">
        <v>110</v>
      </c>
      <c r="F602" s="1" t="s">
        <v>9</v>
      </c>
    </row>
    <row r="603" spans="1:6" x14ac:dyDescent="0.35">
      <c r="A603" t="str">
        <f t="shared" si="9"/>
        <v>Diplospora dubia</v>
      </c>
      <c r="B603" s="1" t="s">
        <v>445</v>
      </c>
      <c r="C603" s="1" t="s">
        <v>446</v>
      </c>
      <c r="D603" s="1" t="s">
        <v>65</v>
      </c>
      <c r="E603" s="1" t="s">
        <v>66</v>
      </c>
      <c r="F603" s="1" t="s">
        <v>15</v>
      </c>
    </row>
    <row r="604" spans="1:6" x14ac:dyDescent="0.35">
      <c r="A604" t="str">
        <f t="shared" si="9"/>
        <v>Styrax suberifolius</v>
      </c>
      <c r="B604" s="1" t="s">
        <v>1119</v>
      </c>
      <c r="C604" s="1" t="s">
        <v>1120</v>
      </c>
      <c r="D604" s="1" t="s">
        <v>106</v>
      </c>
      <c r="E604" s="1" t="s">
        <v>54</v>
      </c>
      <c r="F604" s="1" t="s">
        <v>15</v>
      </c>
    </row>
    <row r="605" spans="1:6" x14ac:dyDescent="0.35">
      <c r="A605" t="str">
        <f t="shared" si="9"/>
        <v>Iris japonica</v>
      </c>
      <c r="B605" s="1" t="s">
        <v>619</v>
      </c>
      <c r="C605" s="1" t="s">
        <v>112</v>
      </c>
      <c r="D605" s="1" t="s">
        <v>620</v>
      </c>
      <c r="E605" s="1" t="s">
        <v>174</v>
      </c>
      <c r="F605" s="1" t="s">
        <v>15</v>
      </c>
    </row>
    <row r="606" spans="1:6" x14ac:dyDescent="0.35">
      <c r="A606" t="str">
        <f t="shared" si="9"/>
        <v>Daphniphyllum pentandrum</v>
      </c>
      <c r="B606" s="1" t="s">
        <v>412</v>
      </c>
      <c r="C606" s="1" t="s">
        <v>413</v>
      </c>
      <c r="D606" s="1" t="s">
        <v>414</v>
      </c>
      <c r="E606" s="1" t="s">
        <v>188</v>
      </c>
      <c r="F606" s="1" t="s">
        <v>15</v>
      </c>
    </row>
    <row r="607" spans="1:6" x14ac:dyDescent="0.35">
      <c r="A607" t="str">
        <f t="shared" si="9"/>
        <v>Litsea elongata</v>
      </c>
      <c r="B607" s="1" t="s">
        <v>697</v>
      </c>
      <c r="C607" s="1" t="s">
        <v>700</v>
      </c>
      <c r="D607" s="1" t="s">
        <v>132</v>
      </c>
      <c r="E607" s="1" t="s">
        <v>133</v>
      </c>
      <c r="F607" s="1" t="s">
        <v>15</v>
      </c>
    </row>
    <row r="608" spans="1:6" x14ac:dyDescent="0.35">
      <c r="A608" t="str">
        <f t="shared" si="9"/>
        <v>Rubus rosifolius</v>
      </c>
      <c r="B608" s="1" t="s">
        <v>1048</v>
      </c>
      <c r="C608" s="1" t="s">
        <v>1054</v>
      </c>
      <c r="D608" s="1" t="s">
        <v>81</v>
      </c>
      <c r="E608" s="1" t="s">
        <v>82</v>
      </c>
      <c r="F608" s="1" t="s">
        <v>15</v>
      </c>
    </row>
    <row r="609" spans="1:6" x14ac:dyDescent="0.35">
      <c r="A609" t="str">
        <f t="shared" si="9"/>
        <v>Dryopteris lepidopoda</v>
      </c>
      <c r="B609" s="1" t="s">
        <v>451</v>
      </c>
      <c r="C609" s="1" t="s">
        <v>452</v>
      </c>
      <c r="D609" s="1" t="s">
        <v>453</v>
      </c>
      <c r="E609" s="1" t="s">
        <v>62</v>
      </c>
      <c r="F609" s="1" t="s">
        <v>326</v>
      </c>
    </row>
    <row r="610" spans="1:6" x14ac:dyDescent="0.35">
      <c r="A610" t="str">
        <f t="shared" si="9"/>
        <v>Dryopteris sparsa</v>
      </c>
      <c r="B610" s="1" t="s">
        <v>451</v>
      </c>
      <c r="C610" s="1" t="s">
        <v>454</v>
      </c>
      <c r="D610" s="1" t="s">
        <v>453</v>
      </c>
      <c r="E610" s="1" t="s">
        <v>62</v>
      </c>
      <c r="F610" s="1" t="s">
        <v>15</v>
      </c>
    </row>
    <row r="611" spans="1:6" x14ac:dyDescent="0.35">
      <c r="A611" t="str">
        <f t="shared" si="9"/>
        <v>Trachelospermum axillare</v>
      </c>
      <c r="B611" s="1" t="s">
        <v>1157</v>
      </c>
      <c r="C611" s="1" t="s">
        <v>1158</v>
      </c>
      <c r="D611" s="1" t="s">
        <v>124</v>
      </c>
      <c r="E611" s="1" t="s">
        <v>66</v>
      </c>
      <c r="F611" s="1" t="s">
        <v>15</v>
      </c>
    </row>
    <row r="612" spans="1:6" x14ac:dyDescent="0.35">
      <c r="A612" t="str">
        <f t="shared" si="9"/>
        <v>Cryptomeria japonica</v>
      </c>
      <c r="B612" s="1" t="s">
        <v>392</v>
      </c>
      <c r="C612" s="1" t="s">
        <v>112</v>
      </c>
      <c r="D612" s="1" t="s">
        <v>235</v>
      </c>
      <c r="E612" s="1" t="s">
        <v>236</v>
      </c>
      <c r="F612" s="1" t="s">
        <v>15</v>
      </c>
    </row>
    <row r="613" spans="1:6" x14ac:dyDescent="0.35">
      <c r="A613" t="str">
        <f t="shared" si="9"/>
        <v>Smilax trinervula</v>
      </c>
      <c r="B613" s="1" t="s">
        <v>1094</v>
      </c>
      <c r="C613" s="1" t="s">
        <v>1097</v>
      </c>
      <c r="D613" s="1" t="s">
        <v>1095</v>
      </c>
      <c r="E613" s="1" t="s">
        <v>1096</v>
      </c>
      <c r="F613" s="1" t="s">
        <v>15</v>
      </c>
    </row>
    <row r="614" spans="1:6" x14ac:dyDescent="0.35">
      <c r="A614" t="str">
        <f t="shared" si="9"/>
        <v>Strobilanthes dimorphotricha</v>
      </c>
      <c r="B614" s="1" t="s">
        <v>1115</v>
      </c>
      <c r="C614" s="1" t="s">
        <v>1116</v>
      </c>
      <c r="D614" s="1" t="s">
        <v>1117</v>
      </c>
      <c r="E614" s="1" t="s">
        <v>277</v>
      </c>
      <c r="F614" s="1" t="s">
        <v>15</v>
      </c>
    </row>
    <row r="615" spans="1:6" x14ac:dyDescent="0.35">
      <c r="A615" t="str">
        <f t="shared" si="9"/>
        <v>Wurfbainia villosa</v>
      </c>
      <c r="B615" s="1" t="s">
        <v>1191</v>
      </c>
      <c r="C615" s="1" t="s">
        <v>1192</v>
      </c>
      <c r="D615" s="1" t="s">
        <v>113</v>
      </c>
      <c r="E615" s="1" t="s">
        <v>114</v>
      </c>
      <c r="F615" s="1" t="s">
        <v>15</v>
      </c>
    </row>
    <row r="616" spans="1:6" x14ac:dyDescent="0.35">
      <c r="A616" t="str">
        <f t="shared" si="9"/>
        <v>Alpinia japonica</v>
      </c>
      <c r="B616" s="1" t="s">
        <v>111</v>
      </c>
      <c r="C616" s="1" t="s">
        <v>112</v>
      </c>
      <c r="D616" s="1" t="s">
        <v>113</v>
      </c>
      <c r="E616" s="1" t="s">
        <v>114</v>
      </c>
      <c r="F616" s="1" t="s">
        <v>15</v>
      </c>
    </row>
    <row r="617" spans="1:6" x14ac:dyDescent="0.35">
      <c r="A617" t="str">
        <f t="shared" si="9"/>
        <v>Castanopsis fargesii</v>
      </c>
      <c r="B617" s="1" t="s">
        <v>266</v>
      </c>
      <c r="C617" s="1" t="s">
        <v>270</v>
      </c>
      <c r="D617" s="1" t="s">
        <v>265</v>
      </c>
      <c r="E617" s="1" t="s">
        <v>110</v>
      </c>
      <c r="F617" s="1" t="s">
        <v>9</v>
      </c>
    </row>
    <row r="618" spans="1:6" x14ac:dyDescent="0.35">
      <c r="A618" t="str">
        <f t="shared" si="9"/>
        <v>Castanopsis eyrei</v>
      </c>
      <c r="B618" s="1" t="s">
        <v>266</v>
      </c>
      <c r="C618" s="1" t="s">
        <v>269</v>
      </c>
      <c r="D618" s="1" t="s">
        <v>265</v>
      </c>
      <c r="E618" s="1" t="s">
        <v>110</v>
      </c>
      <c r="F618" s="1" t="s">
        <v>9</v>
      </c>
    </row>
    <row r="619" spans="1:6" x14ac:dyDescent="0.35">
      <c r="A619" t="str">
        <f t="shared" si="9"/>
        <v>Embelia vestita</v>
      </c>
      <c r="B619" s="1" t="s">
        <v>463</v>
      </c>
      <c r="C619" s="1" t="s">
        <v>464</v>
      </c>
      <c r="D619" s="1" t="s">
        <v>153</v>
      </c>
      <c r="E619" s="1" t="s">
        <v>54</v>
      </c>
      <c r="F619" s="1" t="s">
        <v>15</v>
      </c>
    </row>
    <row r="620" spans="1:6" x14ac:dyDescent="0.35">
      <c r="A620" t="str">
        <f t="shared" si="9"/>
        <v>Parthenocissus quinquefolia</v>
      </c>
      <c r="B620" s="1" t="s">
        <v>877</v>
      </c>
      <c r="C620" s="1" t="s">
        <v>878</v>
      </c>
      <c r="D620" s="1" t="s">
        <v>879</v>
      </c>
      <c r="E620" s="1" t="s">
        <v>880</v>
      </c>
      <c r="F620" s="1" t="s">
        <v>15</v>
      </c>
    </row>
    <row r="621" spans="1:6" x14ac:dyDescent="0.35">
      <c r="A621" t="str">
        <f t="shared" si="9"/>
        <v>Blastus pauciflorus</v>
      </c>
      <c r="B621" s="1" t="s">
        <v>210</v>
      </c>
      <c r="C621" s="1" t="s">
        <v>214</v>
      </c>
      <c r="D621" s="1" t="s">
        <v>212</v>
      </c>
      <c r="E621" s="1" t="s">
        <v>213</v>
      </c>
      <c r="F621" s="1" t="s">
        <v>15</v>
      </c>
    </row>
    <row r="622" spans="1:6" x14ac:dyDescent="0.35">
      <c r="A622" t="str">
        <f t="shared" si="9"/>
        <v>Dendropanax dentigerus</v>
      </c>
      <c r="B622" s="1" t="s">
        <v>417</v>
      </c>
      <c r="C622" s="1" t="s">
        <v>418</v>
      </c>
      <c r="D622" s="1" t="s">
        <v>419</v>
      </c>
      <c r="E622" s="1" t="s">
        <v>420</v>
      </c>
      <c r="F622" s="1" t="s">
        <v>15</v>
      </c>
    </row>
    <row r="623" spans="1:6" x14ac:dyDescent="0.35">
      <c r="A623" t="str">
        <f t="shared" si="9"/>
        <v>Ardisia japonica</v>
      </c>
      <c r="B623" s="1" t="s">
        <v>151</v>
      </c>
      <c r="C623" s="1" t="s">
        <v>112</v>
      </c>
      <c r="D623" s="1" t="s">
        <v>153</v>
      </c>
      <c r="E623" s="1" t="s">
        <v>54</v>
      </c>
      <c r="F623" s="1" t="s">
        <v>15</v>
      </c>
    </row>
    <row r="624" spans="1:6" x14ac:dyDescent="0.35">
      <c r="A624" t="str">
        <f t="shared" si="9"/>
        <v>Oreocnide frutescens</v>
      </c>
      <c r="B624" s="1" t="s">
        <v>853</v>
      </c>
      <c r="C624" s="1" t="s">
        <v>854</v>
      </c>
      <c r="D624" s="1" t="s">
        <v>855</v>
      </c>
      <c r="E624" s="1" t="s">
        <v>82</v>
      </c>
      <c r="F624" s="1" t="s">
        <v>15</v>
      </c>
    </row>
    <row r="625" spans="1:6" x14ac:dyDescent="0.35">
      <c r="A625" t="str">
        <f t="shared" si="9"/>
        <v>Abies nephrolepis</v>
      </c>
      <c r="B625" s="1" t="s">
        <v>5</v>
      </c>
      <c r="C625" s="1" t="s">
        <v>10</v>
      </c>
      <c r="D625" s="1" t="s">
        <v>7</v>
      </c>
      <c r="E625" s="1" t="s">
        <v>8</v>
      </c>
      <c r="F625" s="1" t="s">
        <v>9</v>
      </c>
    </row>
    <row r="626" spans="1:6" x14ac:dyDescent="0.35">
      <c r="A626" t="str">
        <f t="shared" si="9"/>
        <v>Betula costata</v>
      </c>
      <c r="B626" s="1" t="s">
        <v>203</v>
      </c>
      <c r="C626" s="1" t="s">
        <v>204</v>
      </c>
      <c r="D626" s="1" t="s">
        <v>109</v>
      </c>
      <c r="E626" s="1" t="s">
        <v>110</v>
      </c>
      <c r="F626" s="1" t="s">
        <v>9</v>
      </c>
    </row>
    <row r="627" spans="1:6" x14ac:dyDescent="0.35">
      <c r="A627" t="str">
        <f t="shared" si="9"/>
        <v>Actinidia kolomikta</v>
      </c>
      <c r="B627" s="1" t="s">
        <v>51</v>
      </c>
      <c r="C627" s="1" t="s">
        <v>52</v>
      </c>
      <c r="D627" s="1" t="s">
        <v>53</v>
      </c>
      <c r="E627" s="1" t="s">
        <v>54</v>
      </c>
      <c r="F627" s="1" t="s">
        <v>15</v>
      </c>
    </row>
    <row r="628" spans="1:6" x14ac:dyDescent="0.35">
      <c r="A628" t="str">
        <f t="shared" si="9"/>
        <v>Deutzia glabrata</v>
      </c>
      <c r="B628" s="1" t="s">
        <v>421</v>
      </c>
      <c r="C628" s="1" t="s">
        <v>422</v>
      </c>
      <c r="D628" s="1" t="s">
        <v>423</v>
      </c>
      <c r="E628" s="1" t="s">
        <v>88</v>
      </c>
      <c r="F628" s="1" t="s">
        <v>15</v>
      </c>
    </row>
    <row r="629" spans="1:6" x14ac:dyDescent="0.35">
      <c r="A629" t="str">
        <f t="shared" si="9"/>
        <v>Acer caudatum</v>
      </c>
      <c r="B629" s="1" t="s">
        <v>19</v>
      </c>
      <c r="C629" s="1" t="s">
        <v>25</v>
      </c>
      <c r="D629" s="1" t="s">
        <v>21</v>
      </c>
      <c r="E629" s="1" t="s">
        <v>22</v>
      </c>
      <c r="F629" s="1" t="s">
        <v>9</v>
      </c>
    </row>
    <row r="630" spans="1:6" x14ac:dyDescent="0.35">
      <c r="A630" t="str">
        <f t="shared" si="9"/>
        <v>Acer caudatum</v>
      </c>
      <c r="B630" s="1" t="s">
        <v>19</v>
      </c>
      <c r="C630" s="1" t="s">
        <v>25</v>
      </c>
      <c r="D630" s="1" t="s">
        <v>21</v>
      </c>
      <c r="E630" s="1" t="s">
        <v>22</v>
      </c>
      <c r="F630" s="1" t="s">
        <v>17</v>
      </c>
    </row>
    <row r="631" spans="1:6" x14ac:dyDescent="0.35">
      <c r="A631" t="str">
        <f t="shared" si="9"/>
        <v>Acer caudatum</v>
      </c>
      <c r="B631" s="1" t="s">
        <v>19</v>
      </c>
      <c r="C631" s="1" t="s">
        <v>25</v>
      </c>
      <c r="D631" s="1" t="s">
        <v>21</v>
      </c>
      <c r="E631" s="1" t="s">
        <v>22</v>
      </c>
      <c r="F631" s="1" t="s">
        <v>15</v>
      </c>
    </row>
    <row r="632" spans="1:6" x14ac:dyDescent="0.35">
      <c r="A632" t="str">
        <f t="shared" si="9"/>
        <v>Euonymus verrucosus</v>
      </c>
      <c r="B632" s="1" t="s">
        <v>509</v>
      </c>
      <c r="C632" s="1" t="s">
        <v>513</v>
      </c>
      <c r="D632" s="1" t="s">
        <v>511</v>
      </c>
      <c r="E632" s="1" t="s">
        <v>512</v>
      </c>
      <c r="F632" s="1" t="s">
        <v>15</v>
      </c>
    </row>
    <row r="633" spans="1:6" x14ac:dyDescent="0.35">
      <c r="A633" t="str">
        <f t="shared" si="9"/>
        <v>Caltha palustris</v>
      </c>
      <c r="B633" s="1" t="s">
        <v>239</v>
      </c>
      <c r="C633" s="1" t="s">
        <v>240</v>
      </c>
      <c r="D633" s="1" t="s">
        <v>48</v>
      </c>
      <c r="E633" s="1" t="s">
        <v>49</v>
      </c>
      <c r="F633" s="1" t="s">
        <v>15</v>
      </c>
    </row>
    <row r="634" spans="1:6" x14ac:dyDescent="0.35">
      <c r="A634" t="str">
        <f t="shared" si="9"/>
        <v>Caltha palustris</v>
      </c>
      <c r="B634" s="1" t="s">
        <v>239</v>
      </c>
      <c r="C634" s="1" t="s">
        <v>240</v>
      </c>
      <c r="D634" s="1" t="s">
        <v>48</v>
      </c>
      <c r="E634" s="1" t="s">
        <v>49</v>
      </c>
      <c r="F634" s="1" t="s">
        <v>326</v>
      </c>
    </row>
    <row r="635" spans="1:6" x14ac:dyDescent="0.35">
      <c r="A635" t="str">
        <f t="shared" si="9"/>
        <v>Caltha palustris</v>
      </c>
      <c r="B635" s="1" t="s">
        <v>239</v>
      </c>
      <c r="C635" s="1" t="s">
        <v>240</v>
      </c>
      <c r="D635" s="1" t="s">
        <v>48</v>
      </c>
      <c r="E635" s="1" t="s">
        <v>49</v>
      </c>
      <c r="F635" s="1" t="s">
        <v>50</v>
      </c>
    </row>
    <row r="636" spans="1:6" x14ac:dyDescent="0.35">
      <c r="A636" t="str">
        <f t="shared" si="9"/>
        <v>Acer tegmentosum</v>
      </c>
      <c r="B636" s="1" t="s">
        <v>19</v>
      </c>
      <c r="C636" s="1" t="s">
        <v>36</v>
      </c>
      <c r="D636" s="1" t="s">
        <v>21</v>
      </c>
      <c r="E636" s="1" t="s">
        <v>22</v>
      </c>
      <c r="F636" s="1" t="s">
        <v>15</v>
      </c>
    </row>
    <row r="637" spans="1:6" x14ac:dyDescent="0.35">
      <c r="A637" t="str">
        <f t="shared" si="9"/>
        <v>Filipendula digitata</v>
      </c>
      <c r="B637" s="1" t="s">
        <v>530</v>
      </c>
      <c r="C637" s="1" t="s">
        <v>531</v>
      </c>
      <c r="D637" s="1" t="s">
        <v>81</v>
      </c>
      <c r="E637" s="1" t="s">
        <v>82</v>
      </c>
      <c r="F637" s="1" t="s">
        <v>50</v>
      </c>
    </row>
    <row r="638" spans="1:6" x14ac:dyDescent="0.35">
      <c r="A638" t="str">
        <f t="shared" si="9"/>
        <v>Saussurea amurensis</v>
      </c>
      <c r="B638" s="1" t="s">
        <v>1076</v>
      </c>
      <c r="C638" s="1" t="s">
        <v>1077</v>
      </c>
      <c r="D638" s="1" t="s">
        <v>57</v>
      </c>
      <c r="E638" s="1" t="s">
        <v>58</v>
      </c>
      <c r="F638" s="1" t="s">
        <v>15</v>
      </c>
    </row>
    <row r="639" spans="1:6" x14ac:dyDescent="0.35">
      <c r="A639" t="str">
        <f t="shared" si="9"/>
        <v>Tilia amurensis</v>
      </c>
      <c r="B639" s="1" t="s">
        <v>1152</v>
      </c>
      <c r="C639" s="1" t="s">
        <v>1077</v>
      </c>
      <c r="D639" s="1" t="s">
        <v>280</v>
      </c>
      <c r="E639" s="1" t="s">
        <v>281</v>
      </c>
      <c r="F639" s="1" t="s">
        <v>9</v>
      </c>
    </row>
    <row r="640" spans="1:6" x14ac:dyDescent="0.35">
      <c r="A640" t="str">
        <f t="shared" si="9"/>
        <v>Lithocarpus cleistocarpus</v>
      </c>
      <c r="B640" s="1" t="s">
        <v>689</v>
      </c>
      <c r="C640" s="1" t="s">
        <v>691</v>
      </c>
      <c r="D640" s="1" t="s">
        <v>265</v>
      </c>
      <c r="E640" s="1" t="s">
        <v>110</v>
      </c>
      <c r="F640" s="1" t="s">
        <v>9</v>
      </c>
    </row>
    <row r="641" spans="1:6" x14ac:dyDescent="0.35">
      <c r="A641" t="str">
        <f t="shared" si="9"/>
        <v>Sanicula orthacantha</v>
      </c>
      <c r="B641" s="1" t="s">
        <v>1069</v>
      </c>
      <c r="C641" s="1" t="s">
        <v>1070</v>
      </c>
      <c r="D641" s="1" t="s">
        <v>1071</v>
      </c>
      <c r="E641" s="1" t="s">
        <v>420</v>
      </c>
      <c r="F641" s="1" t="s">
        <v>15</v>
      </c>
    </row>
    <row r="642" spans="1:6" x14ac:dyDescent="0.35">
      <c r="A642" t="str">
        <f t="shared" si="9"/>
        <v>Corylus ferox</v>
      </c>
      <c r="B642" s="1" t="s">
        <v>368</v>
      </c>
      <c r="C642" s="1" t="s">
        <v>369</v>
      </c>
      <c r="D642" s="1" t="s">
        <v>109</v>
      </c>
      <c r="E642" s="1" t="s">
        <v>110</v>
      </c>
      <c r="F642" s="1" t="s">
        <v>9</v>
      </c>
    </row>
    <row r="643" spans="1:6" x14ac:dyDescent="0.35">
      <c r="A643" t="str">
        <f t="shared" ref="A643:A706" si="10">_xlfn.CONCAT($B643, " ", $C643)</f>
        <v>Astilbe rivularis</v>
      </c>
      <c r="B643" s="1" t="s">
        <v>185</v>
      </c>
      <c r="C643" s="1" t="s">
        <v>186</v>
      </c>
      <c r="D643" s="1" t="s">
        <v>187</v>
      </c>
      <c r="E643" s="1" t="s">
        <v>188</v>
      </c>
      <c r="F643" s="1" t="s">
        <v>15</v>
      </c>
    </row>
    <row r="644" spans="1:6" x14ac:dyDescent="0.35">
      <c r="A644" t="str">
        <f t="shared" si="10"/>
        <v>Cornus controversa</v>
      </c>
      <c r="B644" s="1" t="s">
        <v>361</v>
      </c>
      <c r="C644" s="1" t="s">
        <v>363</v>
      </c>
      <c r="D644" s="1" t="s">
        <v>87</v>
      </c>
      <c r="E644" s="1" t="s">
        <v>88</v>
      </c>
      <c r="F644" s="1" t="s">
        <v>15</v>
      </c>
    </row>
    <row r="645" spans="1:6" x14ac:dyDescent="0.35">
      <c r="A645" t="str">
        <f t="shared" si="10"/>
        <v>Quercus multinervis</v>
      </c>
      <c r="B645" s="1" t="s">
        <v>1012</v>
      </c>
      <c r="C645" s="1" t="s">
        <v>1019</v>
      </c>
      <c r="D645" s="1" t="s">
        <v>265</v>
      </c>
      <c r="E645" s="1" t="s">
        <v>110</v>
      </c>
      <c r="F645" s="1" t="s">
        <v>9</v>
      </c>
    </row>
    <row r="646" spans="1:6" x14ac:dyDescent="0.35">
      <c r="A646" t="str">
        <f t="shared" si="10"/>
        <v>Rhododendron hypoglaucum</v>
      </c>
      <c r="B646" s="1" t="s">
        <v>1034</v>
      </c>
      <c r="C646" s="1" t="s">
        <v>1035</v>
      </c>
      <c r="D646" s="1" t="s">
        <v>449</v>
      </c>
      <c r="E646" s="1" t="s">
        <v>54</v>
      </c>
      <c r="F646" s="1" t="s">
        <v>450</v>
      </c>
    </row>
    <row r="647" spans="1:6" x14ac:dyDescent="0.35">
      <c r="A647" t="str">
        <f t="shared" si="10"/>
        <v>Salvia chinensis</v>
      </c>
      <c r="B647" s="1" t="s">
        <v>1063</v>
      </c>
      <c r="C647" s="1" t="s">
        <v>390</v>
      </c>
      <c r="D647" s="1" t="s">
        <v>646</v>
      </c>
      <c r="E647" s="1" t="s">
        <v>277</v>
      </c>
      <c r="F647" s="1" t="s">
        <v>15</v>
      </c>
    </row>
    <row r="648" spans="1:6" x14ac:dyDescent="0.35">
      <c r="A648" t="str">
        <f t="shared" si="10"/>
        <v>Cornus ulotricha</v>
      </c>
      <c r="B648" s="1" t="s">
        <v>361</v>
      </c>
      <c r="C648" s="1" t="s">
        <v>367</v>
      </c>
      <c r="D648" s="1" t="s">
        <v>87</v>
      </c>
      <c r="E648" s="1" t="s">
        <v>88</v>
      </c>
      <c r="F648" s="1" t="s">
        <v>15</v>
      </c>
    </row>
    <row r="649" spans="1:6" x14ac:dyDescent="0.35">
      <c r="A649" t="str">
        <f t="shared" si="10"/>
        <v>Pteridium aquilinum</v>
      </c>
      <c r="B649" s="1" t="s">
        <v>1002</v>
      </c>
      <c r="C649" s="1" t="s">
        <v>1003</v>
      </c>
      <c r="D649" s="1" t="s">
        <v>1004</v>
      </c>
      <c r="E649" s="1" t="s">
        <v>62</v>
      </c>
      <c r="F649" s="1" t="s">
        <v>15</v>
      </c>
    </row>
    <row r="650" spans="1:6" x14ac:dyDescent="0.35">
      <c r="A650" t="str">
        <f t="shared" si="10"/>
        <v>Quercus oxyodon</v>
      </c>
      <c r="B650" s="1" t="s">
        <v>1012</v>
      </c>
      <c r="C650" s="1" t="s">
        <v>1020</v>
      </c>
      <c r="D650" s="1" t="s">
        <v>265</v>
      </c>
      <c r="E650" s="1" t="s">
        <v>110</v>
      </c>
      <c r="F650" s="1" t="s">
        <v>9</v>
      </c>
    </row>
    <row r="651" spans="1:6" x14ac:dyDescent="0.35">
      <c r="A651" t="str">
        <f t="shared" si="10"/>
        <v>Fagus engleriana</v>
      </c>
      <c r="B651" s="1" t="s">
        <v>516</v>
      </c>
      <c r="C651" s="1" t="s">
        <v>517</v>
      </c>
      <c r="D651" s="1" t="s">
        <v>265</v>
      </c>
      <c r="E651" s="1" t="s">
        <v>110</v>
      </c>
      <c r="F651" s="1" t="s">
        <v>9</v>
      </c>
    </row>
    <row r="652" spans="1:6" x14ac:dyDescent="0.35">
      <c r="A652" t="str">
        <f t="shared" si="10"/>
        <v>Schoepfia jasminodora</v>
      </c>
      <c r="B652" s="1" t="s">
        <v>1084</v>
      </c>
      <c r="C652" s="1" t="s">
        <v>1085</v>
      </c>
      <c r="D652" s="1" t="s">
        <v>1086</v>
      </c>
      <c r="E652" s="1" t="s">
        <v>1087</v>
      </c>
      <c r="F652" s="1" t="s">
        <v>326</v>
      </c>
    </row>
    <row r="653" spans="1:6" x14ac:dyDescent="0.35">
      <c r="A653" t="str">
        <f t="shared" si="10"/>
        <v>Lindera obtusiloba</v>
      </c>
      <c r="B653" s="1" t="s">
        <v>680</v>
      </c>
      <c r="C653" s="1" t="s">
        <v>682</v>
      </c>
      <c r="D653" s="1" t="s">
        <v>132</v>
      </c>
      <c r="E653" s="1" t="s">
        <v>133</v>
      </c>
      <c r="F653" s="1" t="s">
        <v>15</v>
      </c>
    </row>
    <row r="654" spans="1:6" x14ac:dyDescent="0.35">
      <c r="A654" t="str">
        <f t="shared" si="10"/>
        <v>Actaea cimicifuga</v>
      </c>
      <c r="B654" s="1" t="s">
        <v>46</v>
      </c>
      <c r="C654" s="1" t="s">
        <v>47</v>
      </c>
      <c r="D654" s="1" t="s">
        <v>48</v>
      </c>
      <c r="E654" s="1" t="s">
        <v>49</v>
      </c>
      <c r="F654" s="1" t="s">
        <v>50</v>
      </c>
    </row>
    <row r="655" spans="1:6" x14ac:dyDescent="0.35">
      <c r="A655" t="str">
        <f t="shared" si="10"/>
        <v>Cornus kousa</v>
      </c>
      <c r="B655" s="1" t="s">
        <v>361</v>
      </c>
      <c r="C655" s="1" t="s">
        <v>365</v>
      </c>
      <c r="D655" s="1" t="s">
        <v>87</v>
      </c>
      <c r="E655" s="1" t="s">
        <v>88</v>
      </c>
      <c r="F655" s="1" t="s">
        <v>15</v>
      </c>
    </row>
    <row r="656" spans="1:6" x14ac:dyDescent="0.35">
      <c r="A656" t="str">
        <f t="shared" si="10"/>
        <v>Anaphalis aureopunctata</v>
      </c>
      <c r="B656" s="1" t="s">
        <v>128</v>
      </c>
      <c r="C656" s="1" t="s">
        <v>129</v>
      </c>
      <c r="D656" s="1" t="s">
        <v>57</v>
      </c>
      <c r="E656" s="1" t="s">
        <v>58</v>
      </c>
      <c r="F656" s="1" t="s">
        <v>50</v>
      </c>
    </row>
    <row r="657" spans="1:6" x14ac:dyDescent="0.35">
      <c r="A657" t="str">
        <f t="shared" si="10"/>
        <v>Cotoneaster adpressus</v>
      </c>
      <c r="B657" s="1" t="s">
        <v>376</v>
      </c>
      <c r="C657" s="1" t="s">
        <v>378</v>
      </c>
      <c r="D657" s="1" t="s">
        <v>81</v>
      </c>
      <c r="E657" s="1" t="s">
        <v>82</v>
      </c>
      <c r="F657" s="1" t="s">
        <v>15</v>
      </c>
    </row>
    <row r="658" spans="1:6" x14ac:dyDescent="0.35">
      <c r="A658" t="str">
        <f t="shared" si="10"/>
        <v>Solidago decurrens</v>
      </c>
      <c r="B658" s="1" t="s">
        <v>1098</v>
      </c>
      <c r="C658" s="1" t="s">
        <v>238</v>
      </c>
      <c r="D658" s="1" t="s">
        <v>57</v>
      </c>
      <c r="E658" s="1" t="s">
        <v>58</v>
      </c>
      <c r="F658" s="1" t="s">
        <v>15</v>
      </c>
    </row>
    <row r="659" spans="1:6" x14ac:dyDescent="0.35">
      <c r="A659" t="str">
        <f t="shared" si="10"/>
        <v>Litsea ichangensis</v>
      </c>
      <c r="B659" s="1" t="s">
        <v>697</v>
      </c>
      <c r="C659" s="1" t="s">
        <v>701</v>
      </c>
      <c r="D659" s="1" t="s">
        <v>132</v>
      </c>
      <c r="E659" s="1" t="s">
        <v>133</v>
      </c>
      <c r="F659" s="1" t="s">
        <v>15</v>
      </c>
    </row>
    <row r="660" spans="1:6" x14ac:dyDescent="0.35">
      <c r="A660" t="str">
        <f t="shared" si="10"/>
        <v>Acer campbellii</v>
      </c>
      <c r="B660" s="1" t="s">
        <v>19</v>
      </c>
      <c r="C660" s="1" t="s">
        <v>23</v>
      </c>
      <c r="D660" s="1" t="s">
        <v>21</v>
      </c>
      <c r="E660" s="1" t="s">
        <v>22</v>
      </c>
      <c r="F660" s="1" t="s">
        <v>15</v>
      </c>
    </row>
    <row r="661" spans="1:6" x14ac:dyDescent="0.35">
      <c r="A661" t="str">
        <f t="shared" si="10"/>
        <v>Tilia oliveri</v>
      </c>
      <c r="B661" s="1" t="s">
        <v>1152</v>
      </c>
      <c r="C661" s="1" t="s">
        <v>1153</v>
      </c>
      <c r="D661" s="1" t="s">
        <v>280</v>
      </c>
      <c r="E661" s="1" t="s">
        <v>281</v>
      </c>
      <c r="F661" s="1" t="s">
        <v>9</v>
      </c>
    </row>
    <row r="662" spans="1:6" x14ac:dyDescent="0.35">
      <c r="A662" t="str">
        <f t="shared" si="10"/>
        <v>Hosta ventricosa</v>
      </c>
      <c r="B662" s="1" t="s">
        <v>588</v>
      </c>
      <c r="C662" s="1" t="s">
        <v>589</v>
      </c>
      <c r="D662" s="1" t="s">
        <v>173</v>
      </c>
      <c r="E662" s="1" t="s">
        <v>174</v>
      </c>
      <c r="F662" s="1" t="s">
        <v>15</v>
      </c>
    </row>
    <row r="663" spans="1:6" x14ac:dyDescent="0.35">
      <c r="A663" t="str">
        <f t="shared" si="10"/>
        <v>Osmunda japonica</v>
      </c>
      <c r="B663" s="1" t="s">
        <v>860</v>
      </c>
      <c r="C663" s="1" t="s">
        <v>112</v>
      </c>
      <c r="D663" s="1" t="s">
        <v>861</v>
      </c>
      <c r="E663" s="1" t="s">
        <v>862</v>
      </c>
      <c r="F663" s="1" t="s">
        <v>15</v>
      </c>
    </row>
    <row r="664" spans="1:6" x14ac:dyDescent="0.35">
      <c r="A664" t="str">
        <f t="shared" si="10"/>
        <v>Phlomoides umbrosa</v>
      </c>
      <c r="B664" s="1" t="s">
        <v>895</v>
      </c>
      <c r="C664" s="1" t="s">
        <v>896</v>
      </c>
      <c r="D664" s="1" t="s">
        <v>646</v>
      </c>
      <c r="E664" s="1" t="s">
        <v>277</v>
      </c>
      <c r="F664" s="1" t="s">
        <v>15</v>
      </c>
    </row>
    <row r="665" spans="1:6" x14ac:dyDescent="0.35">
      <c r="A665" t="str">
        <f t="shared" si="10"/>
        <v>Acer tataricum</v>
      </c>
      <c r="B665" s="1" t="s">
        <v>19</v>
      </c>
      <c r="C665" s="1" t="s">
        <v>35</v>
      </c>
      <c r="D665" s="1" t="s">
        <v>21</v>
      </c>
      <c r="E665" s="1" t="s">
        <v>22</v>
      </c>
      <c r="F665" s="1" t="s">
        <v>9</v>
      </c>
    </row>
    <row r="666" spans="1:6" x14ac:dyDescent="0.35">
      <c r="A666" t="str">
        <f t="shared" si="10"/>
        <v>Acer tataricum</v>
      </c>
      <c r="B666" s="1" t="s">
        <v>19</v>
      </c>
      <c r="C666" s="1" t="s">
        <v>35</v>
      </c>
      <c r="D666" s="1" t="s">
        <v>21</v>
      </c>
      <c r="E666" s="1" t="s">
        <v>22</v>
      </c>
      <c r="F666" s="1" t="s">
        <v>17</v>
      </c>
    </row>
    <row r="667" spans="1:6" x14ac:dyDescent="0.35">
      <c r="A667" t="str">
        <f t="shared" si="10"/>
        <v>Acer tataricum</v>
      </c>
      <c r="B667" s="1" t="s">
        <v>19</v>
      </c>
      <c r="C667" s="1" t="s">
        <v>35</v>
      </c>
      <c r="D667" s="1" t="s">
        <v>21</v>
      </c>
      <c r="E667" s="1" t="s">
        <v>22</v>
      </c>
      <c r="F667" s="1" t="s">
        <v>15</v>
      </c>
    </row>
    <row r="668" spans="1:6" x14ac:dyDescent="0.35">
      <c r="A668" t="str">
        <f t="shared" si="10"/>
        <v>Dioscorea nipponica</v>
      </c>
      <c r="B668" s="1" t="s">
        <v>437</v>
      </c>
      <c r="C668" s="1" t="s">
        <v>438</v>
      </c>
      <c r="D668" s="1" t="s">
        <v>439</v>
      </c>
      <c r="E668" s="1" t="s">
        <v>440</v>
      </c>
      <c r="F668" s="1" t="s">
        <v>15</v>
      </c>
    </row>
    <row r="669" spans="1:6" x14ac:dyDescent="0.35">
      <c r="A669" t="str">
        <f t="shared" si="10"/>
        <v>Rubus idaeus</v>
      </c>
      <c r="B669" s="1" t="s">
        <v>1048</v>
      </c>
      <c r="C669" s="1" t="s">
        <v>1051</v>
      </c>
      <c r="D669" s="1" t="s">
        <v>81</v>
      </c>
      <c r="E669" s="1" t="s">
        <v>82</v>
      </c>
      <c r="F669" s="1" t="s">
        <v>15</v>
      </c>
    </row>
    <row r="670" spans="1:6" x14ac:dyDescent="0.35">
      <c r="A670" t="str">
        <f t="shared" si="10"/>
        <v>Rubus idaeus</v>
      </c>
      <c r="B670" s="1" t="s">
        <v>1048</v>
      </c>
      <c r="C670" s="1" t="s">
        <v>1051</v>
      </c>
      <c r="D670" s="1" t="s">
        <v>81</v>
      </c>
      <c r="E670" s="1" t="s">
        <v>82</v>
      </c>
      <c r="F670" s="1" t="s">
        <v>326</v>
      </c>
    </row>
    <row r="671" spans="1:6" x14ac:dyDescent="0.35">
      <c r="A671" t="str">
        <f t="shared" si="10"/>
        <v>Adenocaulon himalaicum</v>
      </c>
      <c r="B671" s="1" t="s">
        <v>55</v>
      </c>
      <c r="C671" s="1" t="s">
        <v>56</v>
      </c>
      <c r="D671" s="1" t="s">
        <v>57</v>
      </c>
      <c r="E671" s="1" t="s">
        <v>58</v>
      </c>
      <c r="F671" s="1" t="s">
        <v>15</v>
      </c>
    </row>
    <row r="672" spans="1:6" x14ac:dyDescent="0.35">
      <c r="A672" t="str">
        <f t="shared" si="10"/>
        <v>Rosa xanthina</v>
      </c>
      <c r="B672" s="1" t="s">
        <v>1044</v>
      </c>
      <c r="C672" s="1" t="s">
        <v>1047</v>
      </c>
      <c r="D672" s="1" t="s">
        <v>81</v>
      </c>
      <c r="E672" s="1" t="s">
        <v>82</v>
      </c>
      <c r="F672" s="1" t="s">
        <v>15</v>
      </c>
    </row>
    <row r="673" spans="1:6" x14ac:dyDescent="0.35">
      <c r="A673" t="str">
        <f t="shared" si="10"/>
        <v>Lonicera chrysantha</v>
      </c>
      <c r="B673" s="1" t="s">
        <v>705</v>
      </c>
      <c r="C673" s="1" t="s">
        <v>706</v>
      </c>
      <c r="D673" s="1" t="s">
        <v>707</v>
      </c>
      <c r="E673" s="1" t="s">
        <v>708</v>
      </c>
      <c r="F673" s="1" t="s">
        <v>15</v>
      </c>
    </row>
    <row r="674" spans="1:6" x14ac:dyDescent="0.35">
      <c r="A674" t="str">
        <f t="shared" si="10"/>
        <v>Cotoneaster acutifolius</v>
      </c>
      <c r="B674" s="1" t="s">
        <v>376</v>
      </c>
      <c r="C674" s="1" t="s">
        <v>377</v>
      </c>
      <c r="D674" s="1" t="s">
        <v>81</v>
      </c>
      <c r="E674" s="1" t="s">
        <v>82</v>
      </c>
      <c r="F674" s="1" t="s">
        <v>15</v>
      </c>
    </row>
    <row r="675" spans="1:6" x14ac:dyDescent="0.35">
      <c r="A675" t="str">
        <f t="shared" si="10"/>
        <v>Caulophyllum robustum</v>
      </c>
      <c r="B675" s="1" t="s">
        <v>284</v>
      </c>
      <c r="C675" s="1" t="s">
        <v>285</v>
      </c>
      <c r="D675" s="1" t="s">
        <v>202</v>
      </c>
      <c r="E675" s="1" t="s">
        <v>49</v>
      </c>
      <c r="F675" s="1" t="s">
        <v>15</v>
      </c>
    </row>
    <row r="676" spans="1:6" x14ac:dyDescent="0.35">
      <c r="A676" t="str">
        <f t="shared" si="10"/>
        <v>Anaphalis hancockii</v>
      </c>
      <c r="B676" s="1" t="s">
        <v>128</v>
      </c>
      <c r="C676" s="1" t="s">
        <v>130</v>
      </c>
      <c r="D676" s="1" t="s">
        <v>57</v>
      </c>
      <c r="E676" s="1" t="s">
        <v>58</v>
      </c>
      <c r="F676" s="1" t="s">
        <v>15</v>
      </c>
    </row>
    <row r="677" spans="1:6" x14ac:dyDescent="0.35">
      <c r="A677" t="str">
        <f t="shared" si="10"/>
        <v>Artemisia mongolica</v>
      </c>
      <c r="B677" s="1" t="s">
        <v>157</v>
      </c>
      <c r="C677" s="1" t="s">
        <v>159</v>
      </c>
      <c r="D677" s="1" t="s">
        <v>57</v>
      </c>
      <c r="E677" s="1" t="s">
        <v>58</v>
      </c>
      <c r="F677" s="1" t="s">
        <v>15</v>
      </c>
    </row>
    <row r="678" spans="1:6" x14ac:dyDescent="0.35">
      <c r="A678" t="str">
        <f t="shared" si="10"/>
        <v>Cotoneaster multiflorus</v>
      </c>
      <c r="B678" s="1" t="s">
        <v>376</v>
      </c>
      <c r="C678" s="1" t="s">
        <v>379</v>
      </c>
      <c r="D678" s="1" t="s">
        <v>81</v>
      </c>
      <c r="E678" s="1" t="s">
        <v>82</v>
      </c>
      <c r="F678" s="1" t="s">
        <v>15</v>
      </c>
    </row>
    <row r="679" spans="1:6" x14ac:dyDescent="0.35">
      <c r="A679" t="str">
        <f t="shared" si="10"/>
        <v>Artemisia igniaria</v>
      </c>
      <c r="B679" s="1" t="s">
        <v>157</v>
      </c>
      <c r="C679" s="1" t="s">
        <v>158</v>
      </c>
      <c r="D679" s="1" t="s">
        <v>57</v>
      </c>
      <c r="E679" s="1" t="s">
        <v>58</v>
      </c>
      <c r="F679" s="1" t="s">
        <v>15</v>
      </c>
    </row>
    <row r="680" spans="1:6" x14ac:dyDescent="0.35">
      <c r="A680" t="str">
        <f t="shared" si="10"/>
        <v>Crataegus pinnatifida</v>
      </c>
      <c r="B680" s="1" t="s">
        <v>383</v>
      </c>
      <c r="C680" s="1" t="s">
        <v>385</v>
      </c>
      <c r="D680" s="1" t="s">
        <v>81</v>
      </c>
      <c r="E680" s="1" t="s">
        <v>82</v>
      </c>
      <c r="F680" s="1" t="s">
        <v>15</v>
      </c>
    </row>
    <row r="681" spans="1:6" x14ac:dyDescent="0.35">
      <c r="A681" t="str">
        <f t="shared" si="10"/>
        <v>Crataegus pinnatifida</v>
      </c>
      <c r="B681" s="1" t="s">
        <v>383</v>
      </c>
      <c r="C681" s="1" t="s">
        <v>385</v>
      </c>
      <c r="D681" s="1" t="s">
        <v>81</v>
      </c>
      <c r="E681" s="1" t="s">
        <v>82</v>
      </c>
      <c r="F681" s="1" t="s">
        <v>9</v>
      </c>
    </row>
    <row r="682" spans="1:6" x14ac:dyDescent="0.35">
      <c r="A682" t="str">
        <f t="shared" si="10"/>
        <v>Potentilla indica</v>
      </c>
      <c r="B682" s="1" t="s">
        <v>944</v>
      </c>
      <c r="C682" s="1" t="s">
        <v>945</v>
      </c>
      <c r="D682" s="1" t="s">
        <v>81</v>
      </c>
      <c r="E682" s="1" t="s">
        <v>82</v>
      </c>
      <c r="F682" s="1" t="s">
        <v>15</v>
      </c>
    </row>
    <row r="683" spans="1:6" x14ac:dyDescent="0.35">
      <c r="A683" t="str">
        <f t="shared" si="10"/>
        <v>Adina pilulifera</v>
      </c>
      <c r="B683" s="1" t="s">
        <v>63</v>
      </c>
      <c r="C683" s="1" t="s">
        <v>67</v>
      </c>
      <c r="D683" s="1" t="s">
        <v>65</v>
      </c>
      <c r="E683" s="1" t="s">
        <v>66</v>
      </c>
      <c r="F683" s="1" t="s">
        <v>15</v>
      </c>
    </row>
    <row r="684" spans="1:6" x14ac:dyDescent="0.35">
      <c r="A684" t="str">
        <f t="shared" si="10"/>
        <v>Thalictrum simplex</v>
      </c>
      <c r="B684" s="1" t="s">
        <v>1150</v>
      </c>
      <c r="C684" s="1" t="s">
        <v>1028</v>
      </c>
      <c r="D684" s="1" t="s">
        <v>48</v>
      </c>
      <c r="E684" s="1" t="s">
        <v>49</v>
      </c>
      <c r="F684" s="1" t="s">
        <v>15</v>
      </c>
    </row>
    <row r="685" spans="1:6" x14ac:dyDescent="0.35">
      <c r="A685" t="str">
        <f t="shared" si="10"/>
        <v>Lamium album</v>
      </c>
      <c r="B685" s="1" t="s">
        <v>645</v>
      </c>
      <c r="C685" s="1" t="s">
        <v>244</v>
      </c>
      <c r="D685" s="1" t="s">
        <v>646</v>
      </c>
      <c r="E685" s="1" t="s">
        <v>277</v>
      </c>
      <c r="F685" s="1" t="s">
        <v>15</v>
      </c>
    </row>
    <row r="686" spans="1:6" x14ac:dyDescent="0.35">
      <c r="A686" t="str">
        <f t="shared" si="10"/>
        <v>Lamium album</v>
      </c>
      <c r="B686" s="1" t="s">
        <v>645</v>
      </c>
      <c r="C686" s="1" t="s">
        <v>244</v>
      </c>
      <c r="D686" s="1" t="s">
        <v>646</v>
      </c>
      <c r="E686" s="1" t="s">
        <v>277</v>
      </c>
      <c r="F686" s="1" t="s">
        <v>326</v>
      </c>
    </row>
    <row r="687" spans="1:6" x14ac:dyDescent="0.35">
      <c r="A687" t="str">
        <f t="shared" si="10"/>
        <v>Lamium album</v>
      </c>
      <c r="B687" s="1" t="s">
        <v>645</v>
      </c>
      <c r="C687" s="1" t="s">
        <v>244</v>
      </c>
      <c r="D687" s="1" t="s">
        <v>646</v>
      </c>
      <c r="E687" s="1" t="s">
        <v>277</v>
      </c>
      <c r="F687" s="1" t="s">
        <v>50</v>
      </c>
    </row>
    <row r="688" spans="1:6" x14ac:dyDescent="0.35">
      <c r="A688" t="str">
        <f t="shared" si="10"/>
        <v>Acer barbinerve</v>
      </c>
      <c r="B688" s="1" t="s">
        <v>19</v>
      </c>
      <c r="C688" s="1" t="s">
        <v>20</v>
      </c>
      <c r="D688" s="1" t="s">
        <v>21</v>
      </c>
      <c r="E688" s="1" t="s">
        <v>22</v>
      </c>
      <c r="F688" s="1" t="s">
        <v>15</v>
      </c>
    </row>
    <row r="689" spans="1:6" x14ac:dyDescent="0.35">
      <c r="A689" t="str">
        <f t="shared" si="10"/>
        <v>Quercus mongolica</v>
      </c>
      <c r="B689" s="1" t="s">
        <v>1012</v>
      </c>
      <c r="C689" s="1" t="s">
        <v>159</v>
      </c>
      <c r="D689" s="1" t="s">
        <v>265</v>
      </c>
      <c r="E689" s="1" t="s">
        <v>110</v>
      </c>
      <c r="F689" s="1" t="s">
        <v>9</v>
      </c>
    </row>
    <row r="690" spans="1:6" x14ac:dyDescent="0.35">
      <c r="A690" t="str">
        <f t="shared" si="10"/>
        <v>Acer triflorum</v>
      </c>
      <c r="B690" s="1" t="s">
        <v>19</v>
      </c>
      <c r="C690" s="1" t="s">
        <v>37</v>
      </c>
      <c r="D690" s="1" t="s">
        <v>21</v>
      </c>
      <c r="E690" s="1" t="s">
        <v>22</v>
      </c>
      <c r="F690" s="1" t="s">
        <v>15</v>
      </c>
    </row>
    <row r="691" spans="1:6" x14ac:dyDescent="0.35">
      <c r="A691" t="str">
        <f t="shared" si="10"/>
        <v>Pinus massoniana</v>
      </c>
      <c r="B691" s="1" t="s">
        <v>905</v>
      </c>
      <c r="C691" s="1" t="s">
        <v>908</v>
      </c>
      <c r="D691" s="1" t="s">
        <v>7</v>
      </c>
      <c r="E691" s="1" t="s">
        <v>8</v>
      </c>
      <c r="F691" s="1" t="s">
        <v>9</v>
      </c>
    </row>
    <row r="692" spans="1:6" x14ac:dyDescent="0.35">
      <c r="A692" t="str">
        <f t="shared" si="10"/>
        <v>Tapirira guianensis</v>
      </c>
      <c r="B692" s="1" t="s">
        <v>1335</v>
      </c>
      <c r="C692" s="1" t="s">
        <v>127</v>
      </c>
      <c r="D692" s="1" t="s">
        <v>312</v>
      </c>
      <c r="E692" s="1" t="s">
        <v>22</v>
      </c>
      <c r="F692" s="1" t="s">
        <v>15</v>
      </c>
    </row>
    <row r="693" spans="1:6" x14ac:dyDescent="0.35">
      <c r="A693" t="str">
        <f t="shared" si="10"/>
        <v>Inga marginata</v>
      </c>
      <c r="B693" s="1" t="s">
        <v>600</v>
      </c>
      <c r="C693" s="1" t="s">
        <v>609</v>
      </c>
      <c r="D693" s="1" t="s">
        <v>13</v>
      </c>
      <c r="E693" s="1" t="s">
        <v>14</v>
      </c>
      <c r="F693" s="1" t="s">
        <v>15</v>
      </c>
    </row>
    <row r="694" spans="1:6" x14ac:dyDescent="0.35">
      <c r="A694" t="str">
        <f t="shared" si="10"/>
        <v>Ocotea aciphylla</v>
      </c>
      <c r="B694" s="1" t="s">
        <v>837</v>
      </c>
      <c r="C694" s="1" t="s">
        <v>838</v>
      </c>
      <c r="D694" s="1" t="s">
        <v>132</v>
      </c>
      <c r="E694" s="1" t="s">
        <v>133</v>
      </c>
      <c r="F694" s="1" t="s">
        <v>15</v>
      </c>
    </row>
    <row r="695" spans="1:6" x14ac:dyDescent="0.35">
      <c r="A695" t="str">
        <f t="shared" si="10"/>
        <v>Inga umbellifera</v>
      </c>
      <c r="B695" s="1" t="s">
        <v>600</v>
      </c>
      <c r="C695" s="1" t="s">
        <v>617</v>
      </c>
      <c r="D695" s="1" t="s">
        <v>13</v>
      </c>
      <c r="E695" s="1" t="s">
        <v>14</v>
      </c>
      <c r="F695" s="1" t="s">
        <v>15</v>
      </c>
    </row>
    <row r="696" spans="1:6" x14ac:dyDescent="0.35">
      <c r="A696" t="str">
        <f t="shared" si="10"/>
        <v>Pseudolmedia laevigata</v>
      </c>
      <c r="B696" s="1" t="s">
        <v>989</v>
      </c>
      <c r="C696" s="1" t="s">
        <v>990</v>
      </c>
      <c r="D696" s="1" t="s">
        <v>162</v>
      </c>
      <c r="E696" s="1" t="s">
        <v>82</v>
      </c>
      <c r="F696" s="1" t="s">
        <v>15</v>
      </c>
    </row>
    <row r="697" spans="1:6" x14ac:dyDescent="0.35">
      <c r="A697" t="str">
        <f t="shared" si="10"/>
        <v>Pseudolmedia laevis</v>
      </c>
      <c r="B697" s="1" t="s">
        <v>989</v>
      </c>
      <c r="C697" s="1" t="s">
        <v>991</v>
      </c>
      <c r="D697" s="1" t="s">
        <v>162</v>
      </c>
      <c r="E697" s="1" t="s">
        <v>82</v>
      </c>
      <c r="F697" s="1" t="s">
        <v>15</v>
      </c>
    </row>
    <row r="698" spans="1:6" x14ac:dyDescent="0.35">
      <c r="A698" t="str">
        <f t="shared" si="10"/>
        <v>Calocedrus decurrens</v>
      </c>
      <c r="B698" s="1" t="s">
        <v>237</v>
      </c>
      <c r="C698" s="1" t="s">
        <v>238</v>
      </c>
      <c r="D698" s="1" t="s">
        <v>235</v>
      </c>
      <c r="E698" s="1" t="s">
        <v>236</v>
      </c>
      <c r="F698" s="1" t="s">
        <v>15</v>
      </c>
    </row>
    <row r="699" spans="1:6" x14ac:dyDescent="0.35">
      <c r="A699" t="str">
        <f t="shared" si="10"/>
        <v>Callitropsis nootkatensis</v>
      </c>
      <c r="B699" s="1" t="s">
        <v>233</v>
      </c>
      <c r="C699" s="1" t="s">
        <v>234</v>
      </c>
      <c r="D699" s="1" t="s">
        <v>235</v>
      </c>
      <c r="E699" s="1" t="s">
        <v>236</v>
      </c>
      <c r="F699" s="1" t="s">
        <v>15</v>
      </c>
    </row>
    <row r="700" spans="1:6" x14ac:dyDescent="0.35">
      <c r="A700" t="str">
        <f t="shared" si="10"/>
        <v>Juniperus chinensis</v>
      </c>
      <c r="B700" s="1" t="s">
        <v>628</v>
      </c>
      <c r="C700" s="1" t="s">
        <v>390</v>
      </c>
      <c r="D700" s="1" t="s">
        <v>235</v>
      </c>
      <c r="E700" s="1" t="s">
        <v>236</v>
      </c>
      <c r="F700" s="1" t="s">
        <v>15</v>
      </c>
    </row>
    <row r="701" spans="1:6" x14ac:dyDescent="0.35">
      <c r="A701" t="str">
        <f t="shared" si="10"/>
        <v>Juniperus communis</v>
      </c>
      <c r="B701" s="1" t="s">
        <v>628</v>
      </c>
      <c r="C701" s="1" t="s">
        <v>629</v>
      </c>
      <c r="D701" s="1" t="s">
        <v>235</v>
      </c>
      <c r="E701" s="1" t="s">
        <v>236</v>
      </c>
      <c r="F701" s="1" t="s">
        <v>15</v>
      </c>
    </row>
    <row r="702" spans="1:6" x14ac:dyDescent="0.35">
      <c r="A702" t="str">
        <f t="shared" si="10"/>
        <v>Metasequoia glyptostroboides</v>
      </c>
      <c r="B702" s="1" t="s">
        <v>765</v>
      </c>
      <c r="C702" s="1" t="s">
        <v>766</v>
      </c>
      <c r="D702" s="1" t="s">
        <v>235</v>
      </c>
      <c r="E702" s="1" t="s">
        <v>236</v>
      </c>
      <c r="F702" s="1" t="s">
        <v>15</v>
      </c>
    </row>
    <row r="703" spans="1:6" x14ac:dyDescent="0.35">
      <c r="A703" t="str">
        <f t="shared" si="10"/>
        <v>Microbiota decussata</v>
      </c>
      <c r="B703" s="1" t="s">
        <v>773</v>
      </c>
      <c r="C703" s="1" t="s">
        <v>774</v>
      </c>
      <c r="D703" s="1" t="s">
        <v>235</v>
      </c>
      <c r="E703" s="1" t="s">
        <v>236</v>
      </c>
      <c r="F703" s="1" t="s">
        <v>15</v>
      </c>
    </row>
    <row r="704" spans="1:6" x14ac:dyDescent="0.35">
      <c r="A704" t="str">
        <f t="shared" si="10"/>
        <v>Platycladus orientalis</v>
      </c>
      <c r="B704" s="1" t="s">
        <v>926</v>
      </c>
      <c r="C704" s="1" t="s">
        <v>216</v>
      </c>
      <c r="D704" s="1" t="s">
        <v>235</v>
      </c>
      <c r="E704" s="1" t="s">
        <v>236</v>
      </c>
      <c r="F704" s="1" t="s">
        <v>15</v>
      </c>
    </row>
    <row r="705" spans="1:6" x14ac:dyDescent="0.35">
      <c r="A705" t="str">
        <f t="shared" si="10"/>
        <v>Sequoiadendron giganteum</v>
      </c>
      <c r="B705" s="1" t="s">
        <v>1091</v>
      </c>
      <c r="C705" s="1" t="s">
        <v>1092</v>
      </c>
      <c r="D705" s="1" t="s">
        <v>235</v>
      </c>
      <c r="E705" s="1" t="s">
        <v>236</v>
      </c>
      <c r="F705" s="1" t="s">
        <v>15</v>
      </c>
    </row>
    <row r="706" spans="1:6" x14ac:dyDescent="0.35">
      <c r="A706" t="str">
        <f t="shared" si="10"/>
        <v>Taxodium distichum</v>
      </c>
      <c r="B706" s="1" t="s">
        <v>1138</v>
      </c>
      <c r="C706" s="1" t="s">
        <v>1139</v>
      </c>
      <c r="D706" s="1" t="s">
        <v>235</v>
      </c>
      <c r="E706" s="1" t="s">
        <v>236</v>
      </c>
      <c r="F706" s="1" t="s">
        <v>15</v>
      </c>
    </row>
    <row r="707" spans="1:6" x14ac:dyDescent="0.35">
      <c r="A707" t="str">
        <f t="shared" ref="A707:A770" si="11">_xlfn.CONCAT($B707, " ", $C707)</f>
        <v>Thuja occidentalis</v>
      </c>
      <c r="B707" s="1" t="s">
        <v>1151</v>
      </c>
      <c r="C707" s="1" t="s">
        <v>924</v>
      </c>
      <c r="D707" s="1" t="s">
        <v>235</v>
      </c>
      <c r="E707" s="1" t="s">
        <v>236</v>
      </c>
      <c r="F707" s="1" t="s">
        <v>15</v>
      </c>
    </row>
    <row r="708" spans="1:6" x14ac:dyDescent="0.35">
      <c r="A708" t="str">
        <f t="shared" si="11"/>
        <v>Cedrus libani</v>
      </c>
      <c r="B708" s="1" t="s">
        <v>286</v>
      </c>
      <c r="C708" s="1" t="s">
        <v>287</v>
      </c>
      <c r="D708" s="1" t="s">
        <v>7</v>
      </c>
      <c r="E708" s="1" t="s">
        <v>8</v>
      </c>
      <c r="F708" s="1" t="s">
        <v>9</v>
      </c>
    </row>
    <row r="709" spans="1:6" x14ac:dyDescent="0.35">
      <c r="A709" t="str">
        <f t="shared" si="11"/>
        <v>Cephalotaxus harringtonii</v>
      </c>
      <c r="B709" s="1" t="s">
        <v>291</v>
      </c>
      <c r="C709" s="1" t="s">
        <v>292</v>
      </c>
      <c r="D709" s="1" t="s">
        <v>293</v>
      </c>
      <c r="E709" s="1" t="s">
        <v>236</v>
      </c>
      <c r="F709" s="1" t="s">
        <v>15</v>
      </c>
    </row>
    <row r="710" spans="1:6" x14ac:dyDescent="0.35">
      <c r="A710" t="str">
        <f t="shared" si="11"/>
        <v>Taxus cuspidata</v>
      </c>
      <c r="B710" s="1" t="s">
        <v>1140</v>
      </c>
      <c r="C710" s="1" t="s">
        <v>791</v>
      </c>
      <c r="D710" s="1" t="s">
        <v>1141</v>
      </c>
      <c r="E710" s="1" t="s">
        <v>236</v>
      </c>
      <c r="F710" s="1" t="s">
        <v>15</v>
      </c>
    </row>
    <row r="711" spans="1:6" x14ac:dyDescent="0.35">
      <c r="A711" t="str">
        <f t="shared" si="11"/>
        <v>Torreya californica</v>
      </c>
      <c r="B711" s="1" t="s">
        <v>1154</v>
      </c>
      <c r="C711" s="1" t="s">
        <v>1155</v>
      </c>
      <c r="D711" s="1" t="s">
        <v>1141</v>
      </c>
      <c r="E711" s="1" t="s">
        <v>236</v>
      </c>
      <c r="F711" s="1" t="s">
        <v>15</v>
      </c>
    </row>
    <row r="712" spans="1:6" x14ac:dyDescent="0.35">
      <c r="A712" t="str">
        <f t="shared" si="11"/>
        <v>Torreya nucifera</v>
      </c>
      <c r="B712" s="1" t="s">
        <v>1154</v>
      </c>
      <c r="C712" s="1" t="s">
        <v>1156</v>
      </c>
      <c r="D712" s="1" t="s">
        <v>1141</v>
      </c>
      <c r="E712" s="1" t="s">
        <v>236</v>
      </c>
      <c r="F712" s="1" t="s">
        <v>15</v>
      </c>
    </row>
    <row r="713" spans="1:6" x14ac:dyDescent="0.35">
      <c r="A713" t="str">
        <f t="shared" si="11"/>
        <v>Agathis moorei</v>
      </c>
      <c r="B713" s="1" t="s">
        <v>71</v>
      </c>
      <c r="C713" s="1" t="s">
        <v>76</v>
      </c>
      <c r="D713" s="1" t="s">
        <v>73</v>
      </c>
      <c r="E713" s="1" t="s">
        <v>74</v>
      </c>
      <c r="F713" s="1" t="s">
        <v>15</v>
      </c>
    </row>
    <row r="714" spans="1:6" x14ac:dyDescent="0.35">
      <c r="A714" t="str">
        <f t="shared" si="11"/>
        <v>Araucaria luxurians</v>
      </c>
      <c r="B714" s="1" t="s">
        <v>145</v>
      </c>
      <c r="C714" s="1" t="s">
        <v>146</v>
      </c>
      <c r="D714" s="1" t="s">
        <v>73</v>
      </c>
      <c r="E714" s="1" t="s">
        <v>74</v>
      </c>
      <c r="F714" s="1" t="s">
        <v>15</v>
      </c>
    </row>
    <row r="715" spans="1:6" x14ac:dyDescent="0.35">
      <c r="A715" t="str">
        <f t="shared" si="11"/>
        <v>Araucaria rulei</v>
      </c>
      <c r="B715" s="1" t="s">
        <v>145</v>
      </c>
      <c r="C715" s="1" t="s">
        <v>147</v>
      </c>
      <c r="D715" s="1" t="s">
        <v>73</v>
      </c>
      <c r="E715" s="1" t="s">
        <v>74</v>
      </c>
      <c r="F715" s="1" t="s">
        <v>15</v>
      </c>
    </row>
    <row r="716" spans="1:6" x14ac:dyDescent="0.35">
      <c r="A716" t="str">
        <f t="shared" si="11"/>
        <v>Cycas nathorstii</v>
      </c>
      <c r="B716" s="1" t="s">
        <v>396</v>
      </c>
      <c r="C716" s="1" t="s">
        <v>397</v>
      </c>
      <c r="D716" s="1" t="s">
        <v>398</v>
      </c>
      <c r="E716" s="1" t="s">
        <v>399</v>
      </c>
      <c r="F716" s="1" t="s">
        <v>15</v>
      </c>
    </row>
    <row r="717" spans="1:6" x14ac:dyDescent="0.35">
      <c r="A717" t="str">
        <f t="shared" si="11"/>
        <v>Cycas panzhihuaensis</v>
      </c>
      <c r="B717" s="1" t="s">
        <v>396</v>
      </c>
      <c r="C717" s="1" t="s">
        <v>400</v>
      </c>
      <c r="D717" s="1" t="s">
        <v>398</v>
      </c>
      <c r="E717" s="1" t="s">
        <v>399</v>
      </c>
      <c r="F717" s="1" t="s">
        <v>15</v>
      </c>
    </row>
    <row r="718" spans="1:6" x14ac:dyDescent="0.35">
      <c r="A718" t="str">
        <f t="shared" si="11"/>
        <v>Gnetum gnemon</v>
      </c>
      <c r="B718" s="1" t="s">
        <v>560</v>
      </c>
      <c r="C718" s="1" t="s">
        <v>561</v>
      </c>
      <c r="D718" s="1" t="s">
        <v>562</v>
      </c>
      <c r="E718" s="1" t="s">
        <v>563</v>
      </c>
      <c r="F718" s="1" t="s">
        <v>15</v>
      </c>
    </row>
    <row r="719" spans="1:6" x14ac:dyDescent="0.35">
      <c r="A719" t="str">
        <f t="shared" si="11"/>
        <v>Dacrydium balansae</v>
      </c>
      <c r="B719" s="1" t="s">
        <v>407</v>
      </c>
      <c r="C719" s="1" t="s">
        <v>408</v>
      </c>
      <c r="D719" s="1" t="s">
        <v>405</v>
      </c>
      <c r="E719" s="1" t="s">
        <v>74</v>
      </c>
      <c r="F719" s="1" t="s">
        <v>15</v>
      </c>
    </row>
    <row r="720" spans="1:6" x14ac:dyDescent="0.35">
      <c r="A720" t="str">
        <f t="shared" si="11"/>
        <v>Nageia nagi</v>
      </c>
      <c r="B720" s="1" t="s">
        <v>810</v>
      </c>
      <c r="C720" s="1" t="s">
        <v>811</v>
      </c>
      <c r="D720" s="1" t="s">
        <v>405</v>
      </c>
      <c r="E720" s="1" t="s">
        <v>74</v>
      </c>
      <c r="F720" s="1" t="s">
        <v>15</v>
      </c>
    </row>
    <row r="721" spans="1:6" x14ac:dyDescent="0.35">
      <c r="A721" t="str">
        <f t="shared" si="11"/>
        <v>Dioon rzedowskii</v>
      </c>
      <c r="B721" s="1" t="s">
        <v>434</v>
      </c>
      <c r="C721" s="1" t="s">
        <v>435</v>
      </c>
      <c r="D721" s="1" t="s">
        <v>436</v>
      </c>
      <c r="E721" s="1" t="s">
        <v>399</v>
      </c>
      <c r="F721" s="1" t="s">
        <v>15</v>
      </c>
    </row>
    <row r="722" spans="1:6" x14ac:dyDescent="0.35">
      <c r="A722" t="str">
        <f t="shared" si="11"/>
        <v>Encephalartos gratus</v>
      </c>
      <c r="B722" s="1" t="s">
        <v>465</v>
      </c>
      <c r="C722" s="1" t="s">
        <v>466</v>
      </c>
      <c r="D722" s="1" t="s">
        <v>436</v>
      </c>
      <c r="E722" s="1" t="s">
        <v>399</v>
      </c>
      <c r="F722" s="1" t="s">
        <v>15</v>
      </c>
    </row>
    <row r="723" spans="1:6" x14ac:dyDescent="0.35">
      <c r="A723" t="str">
        <f t="shared" si="11"/>
        <v>Zamia lucayana</v>
      </c>
      <c r="B723" s="1" t="s">
        <v>1197</v>
      </c>
      <c r="C723" s="1" t="s">
        <v>1198</v>
      </c>
      <c r="D723" s="1" t="s">
        <v>436</v>
      </c>
      <c r="E723" s="1" t="s">
        <v>399</v>
      </c>
      <c r="F723" s="1" t="s">
        <v>15</v>
      </c>
    </row>
    <row r="724" spans="1:6" x14ac:dyDescent="0.35">
      <c r="A724" t="str">
        <f t="shared" si="11"/>
        <v>Chamaecyparis pisifera</v>
      </c>
      <c r="B724" s="1" t="s">
        <v>299</v>
      </c>
      <c r="C724" s="1" t="s">
        <v>301</v>
      </c>
      <c r="D724" s="1" t="s">
        <v>235</v>
      </c>
      <c r="E724" s="1" t="s">
        <v>236</v>
      </c>
      <c r="F724" s="1" t="s">
        <v>15</v>
      </c>
    </row>
    <row r="725" spans="1:6" x14ac:dyDescent="0.35">
      <c r="A725" t="str">
        <f t="shared" si="11"/>
        <v>Ephedra distachya</v>
      </c>
      <c r="B725" s="1" t="s">
        <v>476</v>
      </c>
      <c r="C725" s="1" t="s">
        <v>477</v>
      </c>
      <c r="D725" s="1" t="s">
        <v>478</v>
      </c>
      <c r="E725" s="1" t="s">
        <v>479</v>
      </c>
      <c r="F725" s="1" t="s">
        <v>15</v>
      </c>
    </row>
    <row r="726" spans="1:6" x14ac:dyDescent="0.35">
      <c r="A726" t="str">
        <f t="shared" si="11"/>
        <v>Pinus resinosa</v>
      </c>
      <c r="B726" s="1" t="s">
        <v>905</v>
      </c>
      <c r="C726" s="1" t="s">
        <v>911</v>
      </c>
      <c r="D726" s="1" t="s">
        <v>7</v>
      </c>
      <c r="E726" s="1" t="s">
        <v>8</v>
      </c>
      <c r="F726" s="1" t="s">
        <v>9</v>
      </c>
    </row>
    <row r="727" spans="1:6" x14ac:dyDescent="0.35">
      <c r="A727" t="str">
        <f t="shared" si="11"/>
        <v>Sciadopitys verticillata</v>
      </c>
      <c r="B727" s="1" t="s">
        <v>1088</v>
      </c>
      <c r="C727" s="1" t="s">
        <v>702</v>
      </c>
      <c r="D727" s="1" t="s">
        <v>1089</v>
      </c>
      <c r="E727" s="1" t="s">
        <v>236</v>
      </c>
      <c r="F727" s="1" t="s">
        <v>15</v>
      </c>
    </row>
    <row r="728" spans="1:6" x14ac:dyDescent="0.35">
      <c r="A728" t="str">
        <f t="shared" si="11"/>
        <v>Agouticarpa curviflora</v>
      </c>
      <c r="B728" s="1" t="s">
        <v>77</v>
      </c>
      <c r="C728" s="1" t="s">
        <v>78</v>
      </c>
      <c r="D728" s="1" t="s">
        <v>65</v>
      </c>
      <c r="E728" s="1" t="s">
        <v>66</v>
      </c>
      <c r="F728" s="1" t="s">
        <v>15</v>
      </c>
    </row>
    <row r="729" spans="1:6" x14ac:dyDescent="0.35">
      <c r="A729" t="str">
        <f t="shared" si="11"/>
        <v>Kutchubaea oocarpa</v>
      </c>
      <c r="B729" s="1" t="s">
        <v>641</v>
      </c>
      <c r="C729" s="1" t="s">
        <v>642</v>
      </c>
      <c r="D729" s="1" t="s">
        <v>65</v>
      </c>
      <c r="E729" s="1" t="s">
        <v>66</v>
      </c>
      <c r="F729" s="1" t="s">
        <v>15</v>
      </c>
    </row>
    <row r="730" spans="1:6" x14ac:dyDescent="0.35">
      <c r="A730" t="str">
        <f t="shared" si="11"/>
        <v>Cordiera myrciifolia</v>
      </c>
      <c r="B730" s="1" t="s">
        <v>355</v>
      </c>
      <c r="C730" s="1" t="s">
        <v>356</v>
      </c>
      <c r="D730" s="1" t="s">
        <v>65</v>
      </c>
      <c r="E730" s="1" t="s">
        <v>66</v>
      </c>
      <c r="F730" s="1" t="s">
        <v>15</v>
      </c>
    </row>
    <row r="731" spans="1:6" x14ac:dyDescent="0.35">
      <c r="A731" t="str">
        <f t="shared" si="11"/>
        <v>Allantoma lineata</v>
      </c>
      <c r="B731" s="1" t="s">
        <v>99</v>
      </c>
      <c r="C731" s="1" t="s">
        <v>100</v>
      </c>
      <c r="D731" s="1" t="s">
        <v>101</v>
      </c>
      <c r="E731" s="1" t="s">
        <v>54</v>
      </c>
      <c r="F731" s="1" t="s">
        <v>15</v>
      </c>
    </row>
    <row r="732" spans="1:6" x14ac:dyDescent="0.35">
      <c r="A732" t="str">
        <f t="shared" si="11"/>
        <v>Amaioua glomerulata</v>
      </c>
      <c r="B732" s="1" t="s">
        <v>125</v>
      </c>
      <c r="C732" s="1" t="s">
        <v>126</v>
      </c>
      <c r="D732" s="1" t="s">
        <v>65</v>
      </c>
      <c r="E732" s="1" t="s">
        <v>66</v>
      </c>
      <c r="F732" s="1" t="s">
        <v>15</v>
      </c>
    </row>
    <row r="733" spans="1:6" x14ac:dyDescent="0.35">
      <c r="A733" t="str">
        <f t="shared" si="11"/>
        <v>Alibertia edulis</v>
      </c>
      <c r="B733" s="1" t="s">
        <v>96</v>
      </c>
      <c r="C733" s="1" t="s">
        <v>98</v>
      </c>
      <c r="D733" s="1" t="s">
        <v>65</v>
      </c>
      <c r="E733" s="1" t="s">
        <v>66</v>
      </c>
      <c r="F733" s="1" t="s">
        <v>15</v>
      </c>
    </row>
    <row r="734" spans="1:6" x14ac:dyDescent="0.35">
      <c r="A734" t="str">
        <f t="shared" si="11"/>
        <v>Amaioua guianensis</v>
      </c>
      <c r="B734" s="1" t="s">
        <v>125</v>
      </c>
      <c r="C734" s="1" t="s">
        <v>127</v>
      </c>
      <c r="D734" s="1" t="s">
        <v>65</v>
      </c>
      <c r="E734" s="1" t="s">
        <v>66</v>
      </c>
      <c r="F734" s="1" t="s">
        <v>15</v>
      </c>
    </row>
    <row r="735" spans="1:6" x14ac:dyDescent="0.35">
      <c r="A735" t="str">
        <f t="shared" si="11"/>
        <v>Aniba guianensis</v>
      </c>
      <c r="B735" s="1" t="s">
        <v>131</v>
      </c>
      <c r="C735" s="1" t="s">
        <v>127</v>
      </c>
      <c r="D735" s="1" t="s">
        <v>132</v>
      </c>
      <c r="E735" s="1" t="s">
        <v>133</v>
      </c>
      <c r="F735" s="1" t="s">
        <v>15</v>
      </c>
    </row>
    <row r="736" spans="1:6" x14ac:dyDescent="0.35">
      <c r="A736" t="str">
        <f t="shared" si="11"/>
        <v>Aniba hostmanniana</v>
      </c>
      <c r="B736" s="1" t="s">
        <v>131</v>
      </c>
      <c r="C736" s="1" t="s">
        <v>134</v>
      </c>
      <c r="D736" s="1" t="s">
        <v>132</v>
      </c>
      <c r="E736" s="1" t="s">
        <v>133</v>
      </c>
      <c r="F736" s="1" t="s">
        <v>15</v>
      </c>
    </row>
    <row r="737" spans="1:6" x14ac:dyDescent="0.35">
      <c r="A737" t="str">
        <f t="shared" si="11"/>
        <v>Aniba terminalis</v>
      </c>
      <c r="B737" s="1" t="s">
        <v>131</v>
      </c>
      <c r="C737" s="1" t="s">
        <v>135</v>
      </c>
      <c r="D737" s="1" t="s">
        <v>132</v>
      </c>
      <c r="E737" s="1" t="s">
        <v>133</v>
      </c>
      <c r="F737" s="1" t="s">
        <v>15</v>
      </c>
    </row>
    <row r="738" spans="1:6" x14ac:dyDescent="0.35">
      <c r="A738" t="str">
        <f t="shared" si="11"/>
        <v>Blepharocalyx eggersii</v>
      </c>
      <c r="B738" s="1" t="s">
        <v>220</v>
      </c>
      <c r="C738" s="1" t="s">
        <v>221</v>
      </c>
      <c r="D738" s="1" t="s">
        <v>222</v>
      </c>
      <c r="E738" s="1" t="s">
        <v>213</v>
      </c>
      <c r="F738" s="1" t="s">
        <v>15</v>
      </c>
    </row>
    <row r="739" spans="1:6" x14ac:dyDescent="0.35">
      <c r="A739" t="str">
        <f t="shared" si="11"/>
        <v>Alibertia claviflora</v>
      </c>
      <c r="B739" s="1" t="s">
        <v>96</v>
      </c>
      <c r="C739" s="1" t="s">
        <v>97</v>
      </c>
      <c r="D739" s="1" t="s">
        <v>65</v>
      </c>
      <c r="E739" s="1" t="s">
        <v>66</v>
      </c>
      <c r="F739" s="1" t="s">
        <v>15</v>
      </c>
    </row>
    <row r="740" spans="1:6" x14ac:dyDescent="0.35">
      <c r="A740" t="str">
        <f t="shared" si="11"/>
        <v>Brosimum lactescens</v>
      </c>
      <c r="B740" s="1" t="s">
        <v>223</v>
      </c>
      <c r="C740" s="1" t="s">
        <v>224</v>
      </c>
      <c r="D740" s="1" t="s">
        <v>162</v>
      </c>
      <c r="E740" s="1" t="s">
        <v>82</v>
      </c>
      <c r="F740" s="1" t="s">
        <v>15</v>
      </c>
    </row>
    <row r="741" spans="1:6" x14ac:dyDescent="0.35">
      <c r="A741" t="str">
        <f t="shared" si="11"/>
        <v>Brosimum rubescens</v>
      </c>
      <c r="B741" s="1" t="s">
        <v>223</v>
      </c>
      <c r="C741" s="1" t="s">
        <v>225</v>
      </c>
      <c r="D741" s="1" t="s">
        <v>162</v>
      </c>
      <c r="E741" s="1" t="s">
        <v>82</v>
      </c>
      <c r="F741" s="1" t="s">
        <v>15</v>
      </c>
    </row>
    <row r="742" spans="1:6" x14ac:dyDescent="0.35">
      <c r="A742" t="str">
        <f t="shared" si="11"/>
        <v>Brosimum utile</v>
      </c>
      <c r="B742" s="1" t="s">
        <v>223</v>
      </c>
      <c r="C742" s="1" t="s">
        <v>226</v>
      </c>
      <c r="D742" s="1" t="s">
        <v>162</v>
      </c>
      <c r="E742" s="1" t="s">
        <v>82</v>
      </c>
      <c r="F742" s="1" t="s">
        <v>15</v>
      </c>
    </row>
    <row r="743" spans="1:6" x14ac:dyDescent="0.35">
      <c r="A743" t="str">
        <f t="shared" si="11"/>
        <v>Calycolpus goetheanus</v>
      </c>
      <c r="B743" s="1" t="s">
        <v>241</v>
      </c>
      <c r="C743" s="1" t="s">
        <v>242</v>
      </c>
      <c r="D743" s="1" t="s">
        <v>222</v>
      </c>
      <c r="E743" s="1" t="s">
        <v>213</v>
      </c>
      <c r="F743" s="1" t="s">
        <v>15</v>
      </c>
    </row>
    <row r="744" spans="1:6" x14ac:dyDescent="0.35">
      <c r="A744" t="str">
        <f t="shared" si="11"/>
        <v>Myrcia crebra</v>
      </c>
      <c r="B744" s="1" t="s">
        <v>787</v>
      </c>
      <c r="C744" s="1" t="s">
        <v>790</v>
      </c>
      <c r="D744" s="1" t="s">
        <v>222</v>
      </c>
      <c r="E744" s="1" t="s">
        <v>213</v>
      </c>
      <c r="F744" s="1" t="s">
        <v>15</v>
      </c>
    </row>
    <row r="745" spans="1:6" x14ac:dyDescent="0.35">
      <c r="A745" t="str">
        <f t="shared" si="11"/>
        <v>Myrcia cuspidata</v>
      </c>
      <c r="B745" s="1" t="s">
        <v>787</v>
      </c>
      <c r="C745" s="1" t="s">
        <v>791</v>
      </c>
      <c r="D745" s="1" t="s">
        <v>222</v>
      </c>
      <c r="E745" s="1" t="s">
        <v>213</v>
      </c>
      <c r="F745" s="1" t="s">
        <v>15</v>
      </c>
    </row>
    <row r="746" spans="1:6" x14ac:dyDescent="0.35">
      <c r="A746" t="str">
        <f t="shared" si="11"/>
        <v>Myrcia neospeciosa</v>
      </c>
      <c r="B746" s="1" t="s">
        <v>787</v>
      </c>
      <c r="C746" s="1" t="s">
        <v>796</v>
      </c>
      <c r="D746" s="1" t="s">
        <v>222</v>
      </c>
      <c r="E746" s="1" t="s">
        <v>213</v>
      </c>
      <c r="F746" s="1" t="s">
        <v>15</v>
      </c>
    </row>
    <row r="747" spans="1:6" x14ac:dyDescent="0.35">
      <c r="A747" t="str">
        <f t="shared" si="11"/>
        <v>Syzygium borbonicum</v>
      </c>
      <c r="B747" s="1" t="s">
        <v>1123</v>
      </c>
      <c r="C747" s="1" t="s">
        <v>1125</v>
      </c>
      <c r="D747" s="1" t="s">
        <v>222</v>
      </c>
      <c r="E747" s="1" t="s">
        <v>213</v>
      </c>
      <c r="F747" s="1" t="s">
        <v>15</v>
      </c>
    </row>
    <row r="748" spans="1:6" x14ac:dyDescent="0.35">
      <c r="A748" t="str">
        <f t="shared" si="11"/>
        <v>Catostemma sclerophyllum</v>
      </c>
      <c r="B748" s="1" t="s">
        <v>278</v>
      </c>
      <c r="C748" s="1" t="s">
        <v>279</v>
      </c>
      <c r="D748" s="1" t="s">
        <v>280</v>
      </c>
      <c r="E748" s="1" t="s">
        <v>281</v>
      </c>
      <c r="F748" s="1" t="s">
        <v>15</v>
      </c>
    </row>
    <row r="749" spans="1:6" x14ac:dyDescent="0.35">
      <c r="A749" t="str">
        <f t="shared" si="11"/>
        <v>Chomelia tenuiflora</v>
      </c>
      <c r="B749" s="1" t="s">
        <v>313</v>
      </c>
      <c r="C749" s="1" t="s">
        <v>315</v>
      </c>
      <c r="D749" s="1" t="s">
        <v>65</v>
      </c>
      <c r="E749" s="1" t="s">
        <v>66</v>
      </c>
      <c r="F749" s="1" t="s">
        <v>15</v>
      </c>
    </row>
    <row r="750" spans="1:6" x14ac:dyDescent="0.35">
      <c r="A750" t="str">
        <f t="shared" si="11"/>
        <v>Chromolucuma rubriflora</v>
      </c>
      <c r="B750" s="1" t="s">
        <v>316</v>
      </c>
      <c r="C750" s="1" t="s">
        <v>317</v>
      </c>
      <c r="D750" s="1" t="s">
        <v>318</v>
      </c>
      <c r="E750" s="1" t="s">
        <v>54</v>
      </c>
      <c r="F750" s="1" t="s">
        <v>15</v>
      </c>
    </row>
    <row r="751" spans="1:6" x14ac:dyDescent="0.35">
      <c r="A751" t="str">
        <f t="shared" si="11"/>
        <v>Chrysophyllum sanguinolentum</v>
      </c>
      <c r="B751" s="1" t="s">
        <v>321</v>
      </c>
      <c r="C751" s="1" t="s">
        <v>322</v>
      </c>
      <c r="D751" s="1" t="s">
        <v>318</v>
      </c>
      <c r="E751" s="1" t="s">
        <v>54</v>
      </c>
      <c r="F751" s="1" t="s">
        <v>15</v>
      </c>
    </row>
    <row r="752" spans="1:6" x14ac:dyDescent="0.35">
      <c r="A752" t="str">
        <f t="shared" si="11"/>
        <v>Corythophora alta</v>
      </c>
      <c r="B752" s="1" t="s">
        <v>374</v>
      </c>
      <c r="C752" s="1" t="s">
        <v>375</v>
      </c>
      <c r="D752" s="1" t="s">
        <v>101</v>
      </c>
      <c r="E752" s="1" t="s">
        <v>54</v>
      </c>
      <c r="F752" s="1" t="s">
        <v>15</v>
      </c>
    </row>
    <row r="753" spans="1:6" x14ac:dyDescent="0.35">
      <c r="A753" t="str">
        <f t="shared" si="11"/>
        <v>Couepia magnoliifolia</v>
      </c>
      <c r="B753" s="1" t="s">
        <v>380</v>
      </c>
      <c r="C753" s="1" t="s">
        <v>381</v>
      </c>
      <c r="D753" s="1" t="s">
        <v>382</v>
      </c>
      <c r="E753" s="1" t="s">
        <v>92</v>
      </c>
      <c r="F753" s="1" t="s">
        <v>15</v>
      </c>
    </row>
    <row r="754" spans="1:6" x14ac:dyDescent="0.35">
      <c r="A754" t="str">
        <f t="shared" si="11"/>
        <v>Endlicheria anomala</v>
      </c>
      <c r="B754" s="1" t="s">
        <v>467</v>
      </c>
      <c r="C754" s="1" t="s">
        <v>468</v>
      </c>
      <c r="D754" s="1" t="s">
        <v>132</v>
      </c>
      <c r="E754" s="1" t="s">
        <v>133</v>
      </c>
      <c r="F754" s="1" t="s">
        <v>15</v>
      </c>
    </row>
    <row r="755" spans="1:6" x14ac:dyDescent="0.35">
      <c r="A755" t="str">
        <f t="shared" si="11"/>
        <v>Endlicheria arenosa</v>
      </c>
      <c r="B755" s="1" t="s">
        <v>467</v>
      </c>
      <c r="C755" s="1" t="s">
        <v>469</v>
      </c>
      <c r="D755" s="1" t="s">
        <v>132</v>
      </c>
      <c r="E755" s="1" t="s">
        <v>133</v>
      </c>
      <c r="F755" s="1" t="s">
        <v>15</v>
      </c>
    </row>
    <row r="756" spans="1:6" x14ac:dyDescent="0.35">
      <c r="A756" t="str">
        <f t="shared" si="11"/>
        <v>Endlicheria bracteolata</v>
      </c>
      <c r="B756" s="1" t="s">
        <v>467</v>
      </c>
      <c r="C756" s="1" t="s">
        <v>470</v>
      </c>
      <c r="D756" s="1" t="s">
        <v>132</v>
      </c>
      <c r="E756" s="1" t="s">
        <v>133</v>
      </c>
      <c r="F756" s="1" t="s">
        <v>15</v>
      </c>
    </row>
    <row r="757" spans="1:6" x14ac:dyDescent="0.35">
      <c r="A757" t="str">
        <f t="shared" si="11"/>
        <v>Endlicheria citriodora</v>
      </c>
      <c r="B757" s="1" t="s">
        <v>467</v>
      </c>
      <c r="C757" s="1" t="s">
        <v>471</v>
      </c>
      <c r="D757" s="1" t="s">
        <v>132</v>
      </c>
      <c r="E757" s="1" t="s">
        <v>133</v>
      </c>
      <c r="F757" s="1" t="s">
        <v>15</v>
      </c>
    </row>
    <row r="758" spans="1:6" x14ac:dyDescent="0.35">
      <c r="A758" t="str">
        <f t="shared" si="11"/>
        <v>Endlicheria longicaudata</v>
      </c>
      <c r="B758" s="1" t="s">
        <v>467</v>
      </c>
      <c r="C758" s="1" t="s">
        <v>472</v>
      </c>
      <c r="D758" s="1" t="s">
        <v>132</v>
      </c>
      <c r="E758" s="1" t="s">
        <v>133</v>
      </c>
      <c r="F758" s="1" t="s">
        <v>15</v>
      </c>
    </row>
    <row r="759" spans="1:6" x14ac:dyDescent="0.35">
      <c r="A759" t="str">
        <f t="shared" si="11"/>
        <v>Endlicheria macrophylla</v>
      </c>
      <c r="B759" s="1" t="s">
        <v>467</v>
      </c>
      <c r="C759" s="1" t="s">
        <v>473</v>
      </c>
      <c r="D759" s="1" t="s">
        <v>132</v>
      </c>
      <c r="E759" s="1" t="s">
        <v>133</v>
      </c>
      <c r="F759" s="1" t="s">
        <v>15</v>
      </c>
    </row>
    <row r="760" spans="1:6" x14ac:dyDescent="0.35">
      <c r="A760" t="str">
        <f t="shared" si="11"/>
        <v>Eschweilera albiflora</v>
      </c>
      <c r="B760" s="1" t="s">
        <v>485</v>
      </c>
      <c r="C760" s="1" t="s">
        <v>486</v>
      </c>
      <c r="D760" s="1" t="s">
        <v>101</v>
      </c>
      <c r="E760" s="1" t="s">
        <v>54</v>
      </c>
      <c r="F760" s="1" t="s">
        <v>15</v>
      </c>
    </row>
    <row r="761" spans="1:6" x14ac:dyDescent="0.35">
      <c r="A761" t="str">
        <f t="shared" si="11"/>
        <v>Eschweilera atropetiolata</v>
      </c>
      <c r="B761" s="1" t="s">
        <v>485</v>
      </c>
      <c r="C761" s="1" t="s">
        <v>487</v>
      </c>
      <c r="D761" s="1" t="s">
        <v>101</v>
      </c>
      <c r="E761" s="1" t="s">
        <v>54</v>
      </c>
      <c r="F761" s="1" t="s">
        <v>15</v>
      </c>
    </row>
    <row r="762" spans="1:6" x14ac:dyDescent="0.35">
      <c r="A762" t="str">
        <f t="shared" si="11"/>
        <v>Eschweilera bracteosa</v>
      </c>
      <c r="B762" s="1" t="s">
        <v>485</v>
      </c>
      <c r="C762" s="1" t="s">
        <v>488</v>
      </c>
      <c r="D762" s="1" t="s">
        <v>101</v>
      </c>
      <c r="E762" s="1" t="s">
        <v>54</v>
      </c>
      <c r="F762" s="1" t="s">
        <v>15</v>
      </c>
    </row>
    <row r="763" spans="1:6" x14ac:dyDescent="0.35">
      <c r="A763" t="str">
        <f t="shared" si="11"/>
        <v>Eschweilera decolorans</v>
      </c>
      <c r="B763" s="1" t="s">
        <v>485</v>
      </c>
      <c r="C763" s="1" t="s">
        <v>490</v>
      </c>
      <c r="D763" s="1" t="s">
        <v>101</v>
      </c>
      <c r="E763" s="1" t="s">
        <v>54</v>
      </c>
      <c r="F763" s="1" t="s">
        <v>15</v>
      </c>
    </row>
    <row r="764" spans="1:6" x14ac:dyDescent="0.35">
      <c r="A764" t="str">
        <f t="shared" si="11"/>
        <v>Eschweilera grandiflora</v>
      </c>
      <c r="B764" s="1" t="s">
        <v>485</v>
      </c>
      <c r="C764" s="1" t="s">
        <v>424</v>
      </c>
      <c r="D764" s="1" t="s">
        <v>101</v>
      </c>
      <c r="E764" s="1" t="s">
        <v>54</v>
      </c>
      <c r="F764" s="1" t="s">
        <v>15</v>
      </c>
    </row>
    <row r="765" spans="1:6" x14ac:dyDescent="0.35">
      <c r="A765" t="str">
        <f t="shared" si="11"/>
        <v>Eschweilera ovata</v>
      </c>
      <c r="B765" s="1" t="s">
        <v>485</v>
      </c>
      <c r="C765" s="1" t="s">
        <v>260</v>
      </c>
      <c r="D765" s="1" t="s">
        <v>101</v>
      </c>
      <c r="E765" s="1" t="s">
        <v>54</v>
      </c>
      <c r="F765" s="1" t="s">
        <v>15</v>
      </c>
    </row>
    <row r="766" spans="1:6" x14ac:dyDescent="0.35">
      <c r="A766" t="str">
        <f t="shared" si="11"/>
        <v>Eschweilera parviflora</v>
      </c>
      <c r="B766" s="1" t="s">
        <v>485</v>
      </c>
      <c r="C766" s="1" t="s">
        <v>70</v>
      </c>
      <c r="D766" s="1" t="s">
        <v>101</v>
      </c>
      <c r="E766" s="1" t="s">
        <v>54</v>
      </c>
      <c r="F766" s="1" t="s">
        <v>15</v>
      </c>
    </row>
    <row r="767" spans="1:6" x14ac:dyDescent="0.35">
      <c r="A767" t="str">
        <f t="shared" si="11"/>
        <v>Eschweilera pedicellata</v>
      </c>
      <c r="B767" s="1" t="s">
        <v>485</v>
      </c>
      <c r="C767" s="1" t="s">
        <v>491</v>
      </c>
      <c r="D767" s="1" t="s">
        <v>101</v>
      </c>
      <c r="E767" s="1" t="s">
        <v>54</v>
      </c>
      <c r="F767" s="1" t="s">
        <v>15</v>
      </c>
    </row>
    <row r="768" spans="1:6" x14ac:dyDescent="0.35">
      <c r="A768" t="str">
        <f t="shared" si="11"/>
        <v>Eschweilera tenuifolia</v>
      </c>
      <c r="B768" s="1" t="s">
        <v>485</v>
      </c>
      <c r="C768" s="1" t="s">
        <v>492</v>
      </c>
      <c r="D768" s="1" t="s">
        <v>101</v>
      </c>
      <c r="E768" s="1" t="s">
        <v>54</v>
      </c>
      <c r="F768" s="1" t="s">
        <v>15</v>
      </c>
    </row>
    <row r="769" spans="1:6" x14ac:dyDescent="0.35">
      <c r="A769" t="str">
        <f t="shared" si="11"/>
        <v>Eschweilera truncata</v>
      </c>
      <c r="B769" s="1" t="s">
        <v>485</v>
      </c>
      <c r="C769" s="1" t="s">
        <v>493</v>
      </c>
      <c r="D769" s="1" t="s">
        <v>101</v>
      </c>
      <c r="E769" s="1" t="s">
        <v>54</v>
      </c>
      <c r="F769" s="1" t="s">
        <v>15</v>
      </c>
    </row>
    <row r="770" spans="1:6" x14ac:dyDescent="0.35">
      <c r="A770" t="str">
        <f t="shared" si="11"/>
        <v>Eschweilera wachenheimii</v>
      </c>
      <c r="B770" s="1" t="s">
        <v>485</v>
      </c>
      <c r="C770" s="1" t="s">
        <v>494</v>
      </c>
      <c r="D770" s="1" t="s">
        <v>101</v>
      </c>
      <c r="E770" s="1" t="s">
        <v>54</v>
      </c>
      <c r="F770" s="1" t="s">
        <v>15</v>
      </c>
    </row>
    <row r="771" spans="1:6" x14ac:dyDescent="0.35">
      <c r="A771" t="str">
        <f t="shared" ref="A771:A834" si="12">_xlfn.CONCAT($B771, " ", $C771)</f>
        <v>Eugenia biflora</v>
      </c>
      <c r="B771" s="1" t="s">
        <v>497</v>
      </c>
      <c r="C771" s="1" t="s">
        <v>498</v>
      </c>
      <c r="D771" s="1" t="s">
        <v>222</v>
      </c>
      <c r="E771" s="1" t="s">
        <v>213</v>
      </c>
      <c r="F771" s="1" t="s">
        <v>15</v>
      </c>
    </row>
    <row r="772" spans="1:6" x14ac:dyDescent="0.35">
      <c r="A772" t="str">
        <f t="shared" si="12"/>
        <v>Eugenia lambertiana</v>
      </c>
      <c r="B772" s="1" t="s">
        <v>497</v>
      </c>
      <c r="C772" s="1" t="s">
        <v>499</v>
      </c>
      <c r="D772" s="1" t="s">
        <v>222</v>
      </c>
      <c r="E772" s="1" t="s">
        <v>213</v>
      </c>
      <c r="F772" s="1" t="s">
        <v>15</v>
      </c>
    </row>
    <row r="773" spans="1:6" x14ac:dyDescent="0.35">
      <c r="A773" t="str">
        <f t="shared" si="12"/>
        <v>Eugenia lisboae</v>
      </c>
      <c r="B773" s="1" t="s">
        <v>497</v>
      </c>
      <c r="C773" s="1" t="s">
        <v>500</v>
      </c>
      <c r="D773" s="1" t="s">
        <v>222</v>
      </c>
      <c r="E773" s="1" t="s">
        <v>213</v>
      </c>
      <c r="F773" s="1" t="s">
        <v>15</v>
      </c>
    </row>
    <row r="774" spans="1:6" x14ac:dyDescent="0.35">
      <c r="A774" t="str">
        <f t="shared" si="12"/>
        <v>Eugenia patrisii</v>
      </c>
      <c r="B774" s="1" t="s">
        <v>497</v>
      </c>
      <c r="C774" s="1" t="s">
        <v>501</v>
      </c>
      <c r="D774" s="1" t="s">
        <v>222</v>
      </c>
      <c r="E774" s="1" t="s">
        <v>213</v>
      </c>
      <c r="F774" s="1" t="s">
        <v>15</v>
      </c>
    </row>
    <row r="775" spans="1:6" x14ac:dyDescent="0.35">
      <c r="A775" t="str">
        <f t="shared" si="12"/>
        <v>Eugenia protenta</v>
      </c>
      <c r="B775" s="1" t="s">
        <v>497</v>
      </c>
      <c r="C775" s="1" t="s">
        <v>502</v>
      </c>
      <c r="D775" s="1" t="s">
        <v>222</v>
      </c>
      <c r="E775" s="1" t="s">
        <v>213</v>
      </c>
      <c r="F775" s="1" t="s">
        <v>15</v>
      </c>
    </row>
    <row r="776" spans="1:6" x14ac:dyDescent="0.35">
      <c r="A776" t="str">
        <f t="shared" si="12"/>
        <v>Eugenia pseudopsidium</v>
      </c>
      <c r="B776" s="1" t="s">
        <v>497</v>
      </c>
      <c r="C776" s="1" t="s">
        <v>503</v>
      </c>
      <c r="D776" s="1" t="s">
        <v>222</v>
      </c>
      <c r="E776" s="1" t="s">
        <v>213</v>
      </c>
      <c r="F776" s="1" t="s">
        <v>15</v>
      </c>
    </row>
    <row r="777" spans="1:6" x14ac:dyDescent="0.35">
      <c r="A777" t="str">
        <f t="shared" si="12"/>
        <v>Eugenia pusilliflora</v>
      </c>
      <c r="B777" s="1" t="s">
        <v>497</v>
      </c>
      <c r="C777" s="1" t="s">
        <v>504</v>
      </c>
      <c r="D777" s="1" t="s">
        <v>222</v>
      </c>
      <c r="E777" s="1" t="s">
        <v>213</v>
      </c>
      <c r="F777" s="1" t="s">
        <v>15</v>
      </c>
    </row>
    <row r="778" spans="1:6" x14ac:dyDescent="0.35">
      <c r="A778" t="str">
        <f t="shared" si="12"/>
        <v>Eugenia spruceana</v>
      </c>
      <c r="B778" s="1" t="s">
        <v>497</v>
      </c>
      <c r="C778" s="1" t="s">
        <v>505</v>
      </c>
      <c r="D778" s="1" t="s">
        <v>222</v>
      </c>
      <c r="E778" s="1" t="s">
        <v>213</v>
      </c>
      <c r="F778" s="1" t="s">
        <v>15</v>
      </c>
    </row>
    <row r="779" spans="1:6" x14ac:dyDescent="0.35">
      <c r="A779" t="str">
        <f t="shared" si="12"/>
        <v>Faramea capillipes</v>
      </c>
      <c r="B779" s="1" t="s">
        <v>520</v>
      </c>
      <c r="C779" s="1" t="s">
        <v>521</v>
      </c>
      <c r="D779" s="1" t="s">
        <v>65</v>
      </c>
      <c r="E779" s="1" t="s">
        <v>66</v>
      </c>
      <c r="F779" s="1" t="s">
        <v>15</v>
      </c>
    </row>
    <row r="780" spans="1:6" x14ac:dyDescent="0.35">
      <c r="A780" t="str">
        <f t="shared" si="12"/>
        <v>Faramea platyneura</v>
      </c>
      <c r="B780" s="1" t="s">
        <v>520</v>
      </c>
      <c r="C780" s="1" t="s">
        <v>522</v>
      </c>
      <c r="D780" s="1" t="s">
        <v>65</v>
      </c>
      <c r="E780" s="1" t="s">
        <v>66</v>
      </c>
      <c r="F780" s="1" t="s">
        <v>15</v>
      </c>
    </row>
    <row r="781" spans="1:6" x14ac:dyDescent="0.35">
      <c r="A781" t="str">
        <f t="shared" si="12"/>
        <v>Faramea torquata</v>
      </c>
      <c r="B781" s="1" t="s">
        <v>520</v>
      </c>
      <c r="C781" s="1" t="s">
        <v>523</v>
      </c>
      <c r="D781" s="1" t="s">
        <v>65</v>
      </c>
      <c r="E781" s="1" t="s">
        <v>66</v>
      </c>
      <c r="F781" s="1" t="s">
        <v>15</v>
      </c>
    </row>
    <row r="782" spans="1:6" x14ac:dyDescent="0.35">
      <c r="A782" t="str">
        <f t="shared" si="12"/>
        <v>Ferdinandusa hirsuta</v>
      </c>
      <c r="B782" s="1" t="s">
        <v>524</v>
      </c>
      <c r="C782" s="1" t="s">
        <v>525</v>
      </c>
      <c r="D782" s="1" t="s">
        <v>65</v>
      </c>
      <c r="E782" s="1" t="s">
        <v>66</v>
      </c>
      <c r="F782" s="1" t="s">
        <v>15</v>
      </c>
    </row>
    <row r="783" spans="1:6" x14ac:dyDescent="0.35">
      <c r="A783" t="str">
        <f t="shared" si="12"/>
        <v>Ferdinandusa rudgeoides</v>
      </c>
      <c r="B783" s="1" t="s">
        <v>524</v>
      </c>
      <c r="C783" s="1" t="s">
        <v>526</v>
      </c>
      <c r="D783" s="1" t="s">
        <v>65</v>
      </c>
      <c r="E783" s="1" t="s">
        <v>66</v>
      </c>
      <c r="F783" s="1" t="s">
        <v>15</v>
      </c>
    </row>
    <row r="784" spans="1:6" x14ac:dyDescent="0.35">
      <c r="A784" t="str">
        <f t="shared" si="12"/>
        <v>Helicostylis scabra</v>
      </c>
      <c r="B784" s="1" t="s">
        <v>580</v>
      </c>
      <c r="C784" s="1" t="s">
        <v>581</v>
      </c>
      <c r="D784" s="1" t="s">
        <v>162</v>
      </c>
      <c r="E784" s="1" t="s">
        <v>82</v>
      </c>
      <c r="F784" s="1" t="s">
        <v>15</v>
      </c>
    </row>
    <row r="785" spans="1:6" x14ac:dyDescent="0.35">
      <c r="A785" t="str">
        <f t="shared" si="12"/>
        <v>Inga alba</v>
      </c>
      <c r="B785" s="1" t="s">
        <v>600</v>
      </c>
      <c r="C785" s="1" t="s">
        <v>6</v>
      </c>
      <c r="D785" s="1" t="s">
        <v>13</v>
      </c>
      <c r="E785" s="1" t="s">
        <v>14</v>
      </c>
      <c r="F785" s="1" t="s">
        <v>15</v>
      </c>
    </row>
    <row r="786" spans="1:6" x14ac:dyDescent="0.35">
      <c r="A786" t="str">
        <f t="shared" si="12"/>
        <v>Inga auristellae</v>
      </c>
      <c r="B786" s="1" t="s">
        <v>600</v>
      </c>
      <c r="C786" s="1" t="s">
        <v>601</v>
      </c>
      <c r="D786" s="1" t="s">
        <v>13</v>
      </c>
      <c r="E786" s="1" t="s">
        <v>14</v>
      </c>
      <c r="F786" s="1" t="s">
        <v>15</v>
      </c>
    </row>
    <row r="787" spans="1:6" x14ac:dyDescent="0.35">
      <c r="A787" t="str">
        <f t="shared" si="12"/>
        <v>Inga bicoloriflora</v>
      </c>
      <c r="B787" s="1" t="s">
        <v>600</v>
      </c>
      <c r="C787" s="1" t="s">
        <v>602</v>
      </c>
      <c r="D787" s="1" t="s">
        <v>13</v>
      </c>
      <c r="E787" s="1" t="s">
        <v>14</v>
      </c>
      <c r="F787" s="1" t="s">
        <v>15</v>
      </c>
    </row>
    <row r="788" spans="1:6" x14ac:dyDescent="0.35">
      <c r="A788" t="str">
        <f t="shared" si="12"/>
        <v>Inga brevipes</v>
      </c>
      <c r="B788" s="1" t="s">
        <v>600</v>
      </c>
      <c r="C788" s="1" t="s">
        <v>603</v>
      </c>
      <c r="D788" s="1" t="s">
        <v>13</v>
      </c>
      <c r="E788" s="1" t="s">
        <v>14</v>
      </c>
      <c r="F788" s="1" t="s">
        <v>15</v>
      </c>
    </row>
    <row r="789" spans="1:6" x14ac:dyDescent="0.35">
      <c r="A789" t="str">
        <f t="shared" si="12"/>
        <v>Inga cayennensis</v>
      </c>
      <c r="B789" s="1" t="s">
        <v>600</v>
      </c>
      <c r="C789" s="1" t="s">
        <v>604</v>
      </c>
      <c r="D789" s="1" t="s">
        <v>13</v>
      </c>
      <c r="E789" s="1" t="s">
        <v>14</v>
      </c>
      <c r="F789" s="1" t="s">
        <v>15</v>
      </c>
    </row>
    <row r="790" spans="1:6" x14ac:dyDescent="0.35">
      <c r="A790" t="str">
        <f t="shared" si="12"/>
        <v>Inga cordatoalata</v>
      </c>
      <c r="B790" s="1" t="s">
        <v>600</v>
      </c>
      <c r="C790" s="1" t="s">
        <v>605</v>
      </c>
      <c r="D790" s="1" t="s">
        <v>13</v>
      </c>
      <c r="E790" s="1" t="s">
        <v>14</v>
      </c>
      <c r="F790" s="1" t="s">
        <v>15</v>
      </c>
    </row>
    <row r="791" spans="1:6" x14ac:dyDescent="0.35">
      <c r="A791" t="str">
        <f t="shared" si="12"/>
        <v>Inga gracilifolia</v>
      </c>
      <c r="B791" s="1" t="s">
        <v>600</v>
      </c>
      <c r="C791" s="1" t="s">
        <v>606</v>
      </c>
      <c r="D791" s="1" t="s">
        <v>13</v>
      </c>
      <c r="E791" s="1" t="s">
        <v>14</v>
      </c>
      <c r="F791" s="1" t="s">
        <v>15</v>
      </c>
    </row>
    <row r="792" spans="1:6" x14ac:dyDescent="0.35">
      <c r="A792" t="str">
        <f t="shared" si="12"/>
        <v>Calliandra houstoniana</v>
      </c>
      <c r="B792" s="1" t="s">
        <v>231</v>
      </c>
      <c r="C792" s="1" t="s">
        <v>232</v>
      </c>
      <c r="D792" s="1" t="s">
        <v>13</v>
      </c>
      <c r="E792" s="1" t="s">
        <v>14</v>
      </c>
      <c r="F792" s="1" t="s">
        <v>15</v>
      </c>
    </row>
    <row r="793" spans="1:6" x14ac:dyDescent="0.35">
      <c r="A793" t="str">
        <f t="shared" si="12"/>
        <v>Inga huberi</v>
      </c>
      <c r="B793" s="1" t="s">
        <v>600</v>
      </c>
      <c r="C793" s="1" t="s">
        <v>607</v>
      </c>
      <c r="D793" s="1" t="s">
        <v>13</v>
      </c>
      <c r="E793" s="1" t="s">
        <v>14</v>
      </c>
      <c r="F793" s="1" t="s">
        <v>15</v>
      </c>
    </row>
    <row r="794" spans="1:6" x14ac:dyDescent="0.35">
      <c r="A794" t="str">
        <f t="shared" si="12"/>
        <v>Inga lateriflora</v>
      </c>
      <c r="B794" s="1" t="s">
        <v>600</v>
      </c>
      <c r="C794" s="1" t="s">
        <v>608</v>
      </c>
      <c r="D794" s="1" t="s">
        <v>13</v>
      </c>
      <c r="E794" s="1" t="s">
        <v>14</v>
      </c>
      <c r="F794" s="1" t="s">
        <v>15</v>
      </c>
    </row>
    <row r="795" spans="1:6" x14ac:dyDescent="0.35">
      <c r="A795" t="str">
        <f t="shared" si="12"/>
        <v>Inga macrophylla</v>
      </c>
      <c r="B795" s="1" t="s">
        <v>600</v>
      </c>
      <c r="C795" s="1" t="s">
        <v>473</v>
      </c>
      <c r="D795" s="1" t="s">
        <v>13</v>
      </c>
      <c r="E795" s="1" t="s">
        <v>14</v>
      </c>
      <c r="F795" s="1" t="s">
        <v>15</v>
      </c>
    </row>
    <row r="796" spans="1:6" x14ac:dyDescent="0.35">
      <c r="A796" t="str">
        <f t="shared" si="12"/>
        <v>Inga ruiziana</v>
      </c>
      <c r="B796" s="1" t="s">
        <v>600</v>
      </c>
      <c r="C796" s="1" t="s">
        <v>612</v>
      </c>
      <c r="D796" s="1" t="s">
        <v>13</v>
      </c>
      <c r="E796" s="1" t="s">
        <v>14</v>
      </c>
      <c r="F796" s="1" t="s">
        <v>15</v>
      </c>
    </row>
    <row r="797" spans="1:6" x14ac:dyDescent="0.35">
      <c r="A797" t="str">
        <f t="shared" si="12"/>
        <v>Inga obidensis</v>
      </c>
      <c r="B797" s="1" t="s">
        <v>600</v>
      </c>
      <c r="C797" s="1" t="s">
        <v>610</v>
      </c>
      <c r="D797" s="1" t="s">
        <v>13</v>
      </c>
      <c r="E797" s="1" t="s">
        <v>14</v>
      </c>
      <c r="F797" s="1" t="s">
        <v>15</v>
      </c>
    </row>
    <row r="798" spans="1:6" x14ac:dyDescent="0.35">
      <c r="A798" t="str">
        <f t="shared" si="12"/>
        <v>Inga paraensis</v>
      </c>
      <c r="B798" s="1" t="s">
        <v>600</v>
      </c>
      <c r="C798" s="1" t="s">
        <v>611</v>
      </c>
      <c r="D798" s="1" t="s">
        <v>13</v>
      </c>
      <c r="E798" s="1" t="s">
        <v>14</v>
      </c>
      <c r="F798" s="1" t="s">
        <v>15</v>
      </c>
    </row>
    <row r="799" spans="1:6" x14ac:dyDescent="0.35">
      <c r="A799" t="str">
        <f t="shared" si="12"/>
        <v>Inga splendens</v>
      </c>
      <c r="B799" s="1" t="s">
        <v>600</v>
      </c>
      <c r="C799" s="1" t="s">
        <v>613</v>
      </c>
      <c r="D799" s="1" t="s">
        <v>13</v>
      </c>
      <c r="E799" s="1" t="s">
        <v>14</v>
      </c>
      <c r="F799" s="1" t="s">
        <v>15</v>
      </c>
    </row>
    <row r="800" spans="1:6" x14ac:dyDescent="0.35">
      <c r="A800" t="str">
        <f t="shared" si="12"/>
        <v>Inga suberosa</v>
      </c>
      <c r="B800" s="1" t="s">
        <v>600</v>
      </c>
      <c r="C800" s="1" t="s">
        <v>615</v>
      </c>
      <c r="D800" s="1" t="s">
        <v>13</v>
      </c>
      <c r="E800" s="1" t="s">
        <v>14</v>
      </c>
      <c r="F800" s="1" t="s">
        <v>15</v>
      </c>
    </row>
    <row r="801" spans="1:6" x14ac:dyDescent="0.35">
      <c r="A801" t="str">
        <f t="shared" si="12"/>
        <v>Inga thibaudiana</v>
      </c>
      <c r="B801" s="1" t="s">
        <v>600</v>
      </c>
      <c r="C801" s="1" t="s">
        <v>616</v>
      </c>
      <c r="D801" s="1" t="s">
        <v>13</v>
      </c>
      <c r="E801" s="1" t="s">
        <v>14</v>
      </c>
      <c r="F801" s="1" t="s">
        <v>15</v>
      </c>
    </row>
    <row r="802" spans="1:6" x14ac:dyDescent="0.35">
      <c r="A802" t="str">
        <f t="shared" si="12"/>
        <v>Inga umbratica</v>
      </c>
      <c r="B802" s="1" t="s">
        <v>600</v>
      </c>
      <c r="C802" s="1" t="s">
        <v>618</v>
      </c>
      <c r="D802" s="1" t="s">
        <v>13</v>
      </c>
      <c r="E802" s="1" t="s">
        <v>14</v>
      </c>
      <c r="F802" s="1" t="s">
        <v>15</v>
      </c>
    </row>
    <row r="803" spans="1:6" x14ac:dyDescent="0.35">
      <c r="A803" t="str">
        <f t="shared" si="12"/>
        <v>Ixora intensa</v>
      </c>
      <c r="B803" s="1" t="s">
        <v>623</v>
      </c>
      <c r="C803" s="1" t="s">
        <v>624</v>
      </c>
      <c r="D803" s="1" t="s">
        <v>65</v>
      </c>
      <c r="E803" s="1" t="s">
        <v>66</v>
      </c>
      <c r="F803" s="1" t="s">
        <v>15</v>
      </c>
    </row>
    <row r="804" spans="1:6" x14ac:dyDescent="0.35">
      <c r="A804" t="str">
        <f t="shared" si="12"/>
        <v>Ixora panurensis</v>
      </c>
      <c r="B804" s="1" t="s">
        <v>623</v>
      </c>
      <c r="C804" s="1" t="s">
        <v>625</v>
      </c>
      <c r="D804" s="1" t="s">
        <v>65</v>
      </c>
      <c r="E804" s="1" t="s">
        <v>66</v>
      </c>
      <c r="F804" s="1" t="s">
        <v>15</v>
      </c>
    </row>
    <row r="805" spans="1:6" x14ac:dyDescent="0.35">
      <c r="A805" t="str">
        <f t="shared" si="12"/>
        <v>Kubitzkia mezii</v>
      </c>
      <c r="B805" s="1" t="s">
        <v>637</v>
      </c>
      <c r="C805" s="1" t="s">
        <v>638</v>
      </c>
      <c r="D805" s="1" t="s">
        <v>132</v>
      </c>
      <c r="E805" s="1" t="s">
        <v>133</v>
      </c>
      <c r="F805" s="1" t="s">
        <v>15</v>
      </c>
    </row>
    <row r="806" spans="1:6" x14ac:dyDescent="0.35">
      <c r="A806" t="str">
        <f t="shared" si="12"/>
        <v>Kutchubaea semisericea</v>
      </c>
      <c r="B806" s="1" t="s">
        <v>641</v>
      </c>
      <c r="C806" s="1" t="s">
        <v>643</v>
      </c>
      <c r="D806" s="1" t="s">
        <v>65</v>
      </c>
      <c r="E806" s="1" t="s">
        <v>66</v>
      </c>
      <c r="F806" s="1" t="s">
        <v>15</v>
      </c>
    </row>
    <row r="807" spans="1:6" x14ac:dyDescent="0.35">
      <c r="A807" t="str">
        <f t="shared" si="12"/>
        <v>Kutchubaea sericantha</v>
      </c>
      <c r="B807" s="1" t="s">
        <v>641</v>
      </c>
      <c r="C807" s="1" t="s">
        <v>644</v>
      </c>
      <c r="D807" s="1" t="s">
        <v>65</v>
      </c>
      <c r="E807" s="1" t="s">
        <v>66</v>
      </c>
      <c r="F807" s="1" t="s">
        <v>15</v>
      </c>
    </row>
    <row r="808" spans="1:6" x14ac:dyDescent="0.35">
      <c r="A808" t="str">
        <f t="shared" si="12"/>
        <v>Hymenopus adolphoduckei</v>
      </c>
      <c r="B808" s="1" t="s">
        <v>590</v>
      </c>
      <c r="C808" s="1" t="s">
        <v>591</v>
      </c>
      <c r="D808" s="1" t="s">
        <v>382</v>
      </c>
      <c r="E808" s="1" t="s">
        <v>92</v>
      </c>
      <c r="F808" s="1" t="s">
        <v>15</v>
      </c>
    </row>
    <row r="809" spans="1:6" x14ac:dyDescent="0.35">
      <c r="A809" t="str">
        <f t="shared" si="12"/>
        <v>Licania bracteata</v>
      </c>
      <c r="B809" s="1" t="s">
        <v>670</v>
      </c>
      <c r="C809" s="1" t="s">
        <v>671</v>
      </c>
      <c r="D809" s="1" t="s">
        <v>382</v>
      </c>
      <c r="E809" s="1" t="s">
        <v>92</v>
      </c>
      <c r="F809" s="1" t="s">
        <v>15</v>
      </c>
    </row>
    <row r="810" spans="1:6" x14ac:dyDescent="0.35">
      <c r="A810" t="str">
        <f t="shared" si="12"/>
        <v>Hymenopus caudatus</v>
      </c>
      <c r="B810" s="1" t="s">
        <v>590</v>
      </c>
      <c r="C810" s="1" t="s">
        <v>592</v>
      </c>
      <c r="D810" s="1" t="s">
        <v>382</v>
      </c>
      <c r="E810" s="1" t="s">
        <v>92</v>
      </c>
      <c r="F810" s="1" t="s">
        <v>15</v>
      </c>
    </row>
    <row r="811" spans="1:6" x14ac:dyDescent="0.35">
      <c r="A811" t="str">
        <f t="shared" si="12"/>
        <v>Licania gracilipes</v>
      </c>
      <c r="B811" s="1" t="s">
        <v>670</v>
      </c>
      <c r="C811" s="1" t="s">
        <v>672</v>
      </c>
      <c r="D811" s="1" t="s">
        <v>382</v>
      </c>
      <c r="E811" s="1" t="s">
        <v>92</v>
      </c>
      <c r="F811" s="1" t="s">
        <v>15</v>
      </c>
    </row>
    <row r="812" spans="1:6" x14ac:dyDescent="0.35">
      <c r="A812" t="str">
        <f t="shared" si="12"/>
        <v>Leptobalanus granvillei</v>
      </c>
      <c r="B812" s="1" t="s">
        <v>660</v>
      </c>
      <c r="C812" s="1" t="s">
        <v>661</v>
      </c>
      <c r="D812" s="1" t="s">
        <v>382</v>
      </c>
      <c r="E812" s="1" t="s">
        <v>92</v>
      </c>
      <c r="F812" s="1" t="s">
        <v>15</v>
      </c>
    </row>
    <row r="813" spans="1:6" x14ac:dyDescent="0.35">
      <c r="A813" t="str">
        <f t="shared" si="12"/>
        <v>Licania hypoleuca</v>
      </c>
      <c r="B813" s="1" t="s">
        <v>670</v>
      </c>
      <c r="C813" s="1" t="s">
        <v>673</v>
      </c>
      <c r="D813" s="1" t="s">
        <v>382</v>
      </c>
      <c r="E813" s="1" t="s">
        <v>92</v>
      </c>
      <c r="F813" s="1" t="s">
        <v>15</v>
      </c>
    </row>
    <row r="814" spans="1:6" x14ac:dyDescent="0.35">
      <c r="A814" t="str">
        <f t="shared" si="12"/>
        <v>Leptobalanus latus</v>
      </c>
      <c r="B814" s="1" t="s">
        <v>660</v>
      </c>
      <c r="C814" s="1" t="s">
        <v>662</v>
      </c>
      <c r="D814" s="1" t="s">
        <v>382</v>
      </c>
      <c r="E814" s="1" t="s">
        <v>92</v>
      </c>
      <c r="F814" s="1" t="s">
        <v>15</v>
      </c>
    </row>
    <row r="815" spans="1:6" x14ac:dyDescent="0.35">
      <c r="A815" t="str">
        <f t="shared" si="12"/>
        <v>Leptobalanus longistylus</v>
      </c>
      <c r="B815" s="1" t="s">
        <v>660</v>
      </c>
      <c r="C815" s="1" t="s">
        <v>663</v>
      </c>
      <c r="D815" s="1" t="s">
        <v>382</v>
      </c>
      <c r="E815" s="1" t="s">
        <v>92</v>
      </c>
      <c r="F815" s="1" t="s">
        <v>15</v>
      </c>
    </row>
    <row r="816" spans="1:6" x14ac:dyDescent="0.35">
      <c r="A816" t="str">
        <f t="shared" si="12"/>
        <v>Hymenopus macrophyllus</v>
      </c>
      <c r="B816" s="1" t="s">
        <v>590</v>
      </c>
      <c r="C816" s="1" t="s">
        <v>593</v>
      </c>
      <c r="D816" s="1" t="s">
        <v>382</v>
      </c>
      <c r="E816" s="1" t="s">
        <v>92</v>
      </c>
      <c r="F816" s="1" t="s">
        <v>15</v>
      </c>
    </row>
    <row r="817" spans="1:6" x14ac:dyDescent="0.35">
      <c r="A817" t="str">
        <f t="shared" si="12"/>
        <v>Licania niloi</v>
      </c>
      <c r="B817" s="1" t="s">
        <v>670</v>
      </c>
      <c r="C817" s="1" t="s">
        <v>675</v>
      </c>
      <c r="D817" s="1" t="s">
        <v>382</v>
      </c>
      <c r="E817" s="1" t="s">
        <v>92</v>
      </c>
      <c r="F817" s="1" t="s">
        <v>15</v>
      </c>
    </row>
    <row r="818" spans="1:6" x14ac:dyDescent="0.35">
      <c r="A818" t="str">
        <f t="shared" si="12"/>
        <v>Leptobalanus octandrus</v>
      </c>
      <c r="B818" s="1" t="s">
        <v>660</v>
      </c>
      <c r="C818" s="1" t="s">
        <v>664</v>
      </c>
      <c r="D818" s="1" t="s">
        <v>382</v>
      </c>
      <c r="E818" s="1" t="s">
        <v>92</v>
      </c>
      <c r="F818" s="1" t="s">
        <v>15</v>
      </c>
    </row>
    <row r="819" spans="1:6" x14ac:dyDescent="0.35">
      <c r="A819" t="str">
        <f t="shared" si="12"/>
        <v>Licania parviflora</v>
      </c>
      <c r="B819" s="1" t="s">
        <v>670</v>
      </c>
      <c r="C819" s="1" t="s">
        <v>70</v>
      </c>
      <c r="D819" s="1" t="s">
        <v>382</v>
      </c>
      <c r="E819" s="1" t="s">
        <v>92</v>
      </c>
      <c r="F819" s="1" t="s">
        <v>15</v>
      </c>
    </row>
    <row r="820" spans="1:6" x14ac:dyDescent="0.35">
      <c r="A820" t="str">
        <f t="shared" si="12"/>
        <v>Hymenopus reticulatus</v>
      </c>
      <c r="B820" s="1" t="s">
        <v>590</v>
      </c>
      <c r="C820" s="1" t="s">
        <v>594</v>
      </c>
      <c r="D820" s="1" t="s">
        <v>382</v>
      </c>
      <c r="E820" s="1" t="s">
        <v>92</v>
      </c>
      <c r="F820" s="1" t="s">
        <v>15</v>
      </c>
    </row>
    <row r="821" spans="1:6" x14ac:dyDescent="0.35">
      <c r="A821" t="str">
        <f t="shared" si="12"/>
        <v>Licania rodriguesii</v>
      </c>
      <c r="B821" s="1" t="s">
        <v>670</v>
      </c>
      <c r="C821" s="1" t="s">
        <v>676</v>
      </c>
      <c r="D821" s="1" t="s">
        <v>382</v>
      </c>
      <c r="E821" s="1" t="s">
        <v>92</v>
      </c>
      <c r="F821" s="1" t="s">
        <v>15</v>
      </c>
    </row>
    <row r="822" spans="1:6" x14ac:dyDescent="0.35">
      <c r="A822" t="str">
        <f t="shared" si="12"/>
        <v>Hymenopus sothersiae</v>
      </c>
      <c r="B822" s="1" t="s">
        <v>590</v>
      </c>
      <c r="C822" s="1" t="s">
        <v>595</v>
      </c>
      <c r="D822" s="1" t="s">
        <v>382</v>
      </c>
      <c r="E822" s="1" t="s">
        <v>92</v>
      </c>
      <c r="F822" s="1" t="s">
        <v>15</v>
      </c>
    </row>
    <row r="823" spans="1:6" x14ac:dyDescent="0.35">
      <c r="A823" t="str">
        <f t="shared" si="12"/>
        <v>Leptobalanus sprucei</v>
      </c>
      <c r="B823" s="1" t="s">
        <v>660</v>
      </c>
      <c r="C823" s="1" t="s">
        <v>665</v>
      </c>
      <c r="D823" s="1" t="s">
        <v>382</v>
      </c>
      <c r="E823" s="1" t="s">
        <v>92</v>
      </c>
      <c r="F823" s="1" t="s">
        <v>15</v>
      </c>
    </row>
    <row r="824" spans="1:6" x14ac:dyDescent="0.35">
      <c r="A824" t="str">
        <f t="shared" si="12"/>
        <v>Licaria chrysophylla</v>
      </c>
      <c r="B824" s="1" t="s">
        <v>677</v>
      </c>
      <c r="C824" s="1" t="s">
        <v>678</v>
      </c>
      <c r="D824" s="1" t="s">
        <v>132</v>
      </c>
      <c r="E824" s="1" t="s">
        <v>133</v>
      </c>
      <c r="F824" s="1" t="s">
        <v>15</v>
      </c>
    </row>
    <row r="825" spans="1:6" x14ac:dyDescent="0.35">
      <c r="A825" t="str">
        <f t="shared" si="12"/>
        <v>Licaria guianensis</v>
      </c>
      <c r="B825" s="1" t="s">
        <v>677</v>
      </c>
      <c r="C825" s="1" t="s">
        <v>127</v>
      </c>
      <c r="D825" s="1" t="s">
        <v>132</v>
      </c>
      <c r="E825" s="1" t="s">
        <v>133</v>
      </c>
      <c r="F825" s="1" t="s">
        <v>15</v>
      </c>
    </row>
    <row r="826" spans="1:6" x14ac:dyDescent="0.35">
      <c r="A826" t="str">
        <f t="shared" si="12"/>
        <v>Licaria hirsuta</v>
      </c>
      <c r="B826" s="1" t="s">
        <v>677</v>
      </c>
      <c r="C826" s="1" t="s">
        <v>525</v>
      </c>
      <c r="D826" s="1" t="s">
        <v>132</v>
      </c>
      <c r="E826" s="1" t="s">
        <v>133</v>
      </c>
      <c r="F826" s="1" t="s">
        <v>15</v>
      </c>
    </row>
    <row r="827" spans="1:6" x14ac:dyDescent="0.35">
      <c r="A827" t="str">
        <f t="shared" si="12"/>
        <v>Licaria macrophylla</v>
      </c>
      <c r="B827" s="1" t="s">
        <v>677</v>
      </c>
      <c r="C827" s="1" t="s">
        <v>473</v>
      </c>
      <c r="D827" s="1" t="s">
        <v>132</v>
      </c>
      <c r="E827" s="1" t="s">
        <v>133</v>
      </c>
      <c r="F827" s="1" t="s">
        <v>15</v>
      </c>
    </row>
    <row r="828" spans="1:6" x14ac:dyDescent="0.35">
      <c r="A828" t="str">
        <f t="shared" si="12"/>
        <v>Licaria oppositifolia</v>
      </c>
      <c r="B828" s="1" t="s">
        <v>677</v>
      </c>
      <c r="C828" s="1" t="s">
        <v>679</v>
      </c>
      <c r="D828" s="1" t="s">
        <v>132</v>
      </c>
      <c r="E828" s="1" t="s">
        <v>133</v>
      </c>
      <c r="F828" s="1" t="s">
        <v>15</v>
      </c>
    </row>
    <row r="829" spans="1:6" x14ac:dyDescent="0.35">
      <c r="A829" t="str">
        <f t="shared" si="12"/>
        <v>Maquira calophylla</v>
      </c>
      <c r="B829" s="1" t="s">
        <v>753</v>
      </c>
      <c r="C829" s="1" t="s">
        <v>754</v>
      </c>
      <c r="D829" s="1" t="s">
        <v>162</v>
      </c>
      <c r="E829" s="1" t="s">
        <v>82</v>
      </c>
      <c r="F829" s="1" t="s">
        <v>15</v>
      </c>
    </row>
    <row r="830" spans="1:6" x14ac:dyDescent="0.35">
      <c r="A830" t="str">
        <f t="shared" si="12"/>
        <v>Maquira coriacea</v>
      </c>
      <c r="B830" s="1" t="s">
        <v>753</v>
      </c>
      <c r="C830" s="1" t="s">
        <v>489</v>
      </c>
      <c r="D830" s="1" t="s">
        <v>162</v>
      </c>
      <c r="E830" s="1" t="s">
        <v>82</v>
      </c>
      <c r="F830" s="1" t="s">
        <v>15</v>
      </c>
    </row>
    <row r="831" spans="1:6" x14ac:dyDescent="0.35">
      <c r="A831" t="str">
        <f t="shared" si="12"/>
        <v>Maquira sclerophylla</v>
      </c>
      <c r="B831" s="1" t="s">
        <v>753</v>
      </c>
      <c r="C831" s="1" t="s">
        <v>755</v>
      </c>
      <c r="D831" s="1" t="s">
        <v>162</v>
      </c>
      <c r="E831" s="1" t="s">
        <v>82</v>
      </c>
      <c r="F831" s="1" t="s">
        <v>15</v>
      </c>
    </row>
    <row r="832" spans="1:6" x14ac:dyDescent="0.35">
      <c r="A832" t="str">
        <f t="shared" si="12"/>
        <v>Eumachia astrellantha</v>
      </c>
      <c r="B832" s="1" t="s">
        <v>506</v>
      </c>
      <c r="C832" s="1" t="s">
        <v>507</v>
      </c>
      <c r="D832" s="1" t="s">
        <v>65</v>
      </c>
      <c r="E832" s="1" t="s">
        <v>66</v>
      </c>
      <c r="F832" s="1" t="s">
        <v>15</v>
      </c>
    </row>
    <row r="833" spans="1:6" x14ac:dyDescent="0.35">
      <c r="A833" t="str">
        <f t="shared" si="12"/>
        <v>Eumachia podocephala</v>
      </c>
      <c r="B833" s="1" t="s">
        <v>506</v>
      </c>
      <c r="C833" s="1" t="s">
        <v>508</v>
      </c>
      <c r="D833" s="1" t="s">
        <v>65</v>
      </c>
      <c r="E833" s="1" t="s">
        <v>66</v>
      </c>
      <c r="F833" s="1" t="s">
        <v>15</v>
      </c>
    </row>
    <row r="834" spans="1:6" x14ac:dyDescent="0.35">
      <c r="A834" t="str">
        <f t="shared" si="12"/>
        <v>Myrcia caudata</v>
      </c>
      <c r="B834" s="1" t="s">
        <v>787</v>
      </c>
      <c r="C834" s="1" t="s">
        <v>788</v>
      </c>
      <c r="D834" s="1" t="s">
        <v>222</v>
      </c>
      <c r="E834" s="1" t="s">
        <v>213</v>
      </c>
      <c r="F834" s="1" t="s">
        <v>15</v>
      </c>
    </row>
    <row r="835" spans="1:6" x14ac:dyDescent="0.35">
      <c r="A835" t="str">
        <f t="shared" ref="A835:A898" si="13">_xlfn.CONCAT($B835, " ", $C835)</f>
        <v>Myrcia ferruginea</v>
      </c>
      <c r="B835" s="1" t="s">
        <v>787</v>
      </c>
      <c r="C835" s="1" t="s">
        <v>793</v>
      </c>
      <c r="D835" s="1" t="s">
        <v>222</v>
      </c>
      <c r="E835" s="1" t="s">
        <v>213</v>
      </c>
      <c r="F835" s="1" t="s">
        <v>15</v>
      </c>
    </row>
    <row r="836" spans="1:6" x14ac:dyDescent="0.35">
      <c r="A836" t="str">
        <f t="shared" si="13"/>
        <v>Myrcia umbraticola</v>
      </c>
      <c r="B836" s="1" t="s">
        <v>787</v>
      </c>
      <c r="C836" s="1" t="s">
        <v>800</v>
      </c>
      <c r="D836" s="1" t="s">
        <v>222</v>
      </c>
      <c r="E836" s="1" t="s">
        <v>213</v>
      </c>
      <c r="F836" s="1" t="s">
        <v>15</v>
      </c>
    </row>
    <row r="837" spans="1:6" x14ac:dyDescent="0.35">
      <c r="A837" t="str">
        <f t="shared" si="13"/>
        <v>Mezilaurus ita-uba</v>
      </c>
      <c r="B837" s="1" t="s">
        <v>771</v>
      </c>
      <c r="C837" s="1" t="s">
        <v>772</v>
      </c>
      <c r="D837" s="1" t="s">
        <v>132</v>
      </c>
      <c r="E837" s="1" t="s">
        <v>133</v>
      </c>
      <c r="F837" s="1" t="s">
        <v>15</v>
      </c>
    </row>
    <row r="838" spans="1:6" x14ac:dyDescent="0.35">
      <c r="A838" t="str">
        <f t="shared" si="13"/>
        <v>Micropholis casiquiarensis</v>
      </c>
      <c r="B838" s="1" t="s">
        <v>776</v>
      </c>
      <c r="C838" s="1" t="s">
        <v>777</v>
      </c>
      <c r="D838" s="1" t="s">
        <v>318</v>
      </c>
      <c r="E838" s="1" t="s">
        <v>54</v>
      </c>
      <c r="F838" s="1" t="s">
        <v>15</v>
      </c>
    </row>
    <row r="839" spans="1:6" x14ac:dyDescent="0.35">
      <c r="A839" t="str">
        <f t="shared" si="13"/>
        <v>Micropholis cylindrocarpa</v>
      </c>
      <c r="B839" s="1" t="s">
        <v>776</v>
      </c>
      <c r="C839" s="1" t="s">
        <v>778</v>
      </c>
      <c r="D839" s="1" t="s">
        <v>318</v>
      </c>
      <c r="E839" s="1" t="s">
        <v>54</v>
      </c>
      <c r="F839" s="1" t="s">
        <v>15</v>
      </c>
    </row>
    <row r="840" spans="1:6" x14ac:dyDescent="0.35">
      <c r="A840" t="str">
        <f t="shared" si="13"/>
        <v>Micropholis mensalis</v>
      </c>
      <c r="B840" s="1" t="s">
        <v>776</v>
      </c>
      <c r="C840" s="1" t="s">
        <v>781</v>
      </c>
      <c r="D840" s="1" t="s">
        <v>318</v>
      </c>
      <c r="E840" s="1" t="s">
        <v>54</v>
      </c>
      <c r="F840" s="1" t="s">
        <v>15</v>
      </c>
    </row>
    <row r="841" spans="1:6" x14ac:dyDescent="0.35">
      <c r="A841" t="str">
        <f t="shared" si="13"/>
        <v>Micropholis trunciflora</v>
      </c>
      <c r="B841" s="1" t="s">
        <v>776</v>
      </c>
      <c r="C841" s="1" t="s">
        <v>782</v>
      </c>
      <c r="D841" s="1" t="s">
        <v>318</v>
      </c>
      <c r="E841" s="1" t="s">
        <v>54</v>
      </c>
      <c r="F841" s="1" t="s">
        <v>15</v>
      </c>
    </row>
    <row r="842" spans="1:6" x14ac:dyDescent="0.35">
      <c r="A842" t="str">
        <f t="shared" si="13"/>
        <v>Myrcia bracteata</v>
      </c>
      <c r="B842" s="1" t="s">
        <v>787</v>
      </c>
      <c r="C842" s="1" t="s">
        <v>671</v>
      </c>
      <c r="D842" s="1" t="s">
        <v>222</v>
      </c>
      <c r="E842" s="1" t="s">
        <v>213</v>
      </c>
      <c r="F842" s="1" t="s">
        <v>15</v>
      </c>
    </row>
    <row r="843" spans="1:6" x14ac:dyDescent="0.35">
      <c r="A843" t="str">
        <f t="shared" si="13"/>
        <v>Myrcia citrifolia</v>
      </c>
      <c r="B843" s="1" t="s">
        <v>787</v>
      </c>
      <c r="C843" s="1" t="s">
        <v>789</v>
      </c>
      <c r="D843" s="1" t="s">
        <v>222</v>
      </c>
      <c r="E843" s="1" t="s">
        <v>213</v>
      </c>
      <c r="F843" s="1" t="s">
        <v>15</v>
      </c>
    </row>
    <row r="844" spans="1:6" x14ac:dyDescent="0.35">
      <c r="A844" t="str">
        <f t="shared" si="13"/>
        <v>Myrcia fenestrata</v>
      </c>
      <c r="B844" s="1" t="s">
        <v>787</v>
      </c>
      <c r="C844" s="1" t="s">
        <v>792</v>
      </c>
      <c r="D844" s="1" t="s">
        <v>222</v>
      </c>
      <c r="E844" s="1" t="s">
        <v>213</v>
      </c>
      <c r="F844" s="1" t="s">
        <v>15</v>
      </c>
    </row>
    <row r="845" spans="1:6" x14ac:dyDescent="0.35">
      <c r="A845" t="str">
        <f t="shared" si="13"/>
        <v>Myrcia grandis</v>
      </c>
      <c r="B845" s="1" t="s">
        <v>787</v>
      </c>
      <c r="C845" s="1" t="s">
        <v>794</v>
      </c>
      <c r="D845" s="1" t="s">
        <v>222</v>
      </c>
      <c r="E845" s="1" t="s">
        <v>213</v>
      </c>
      <c r="F845" s="1" t="s">
        <v>15</v>
      </c>
    </row>
    <row r="846" spans="1:6" x14ac:dyDescent="0.35">
      <c r="A846" t="str">
        <f t="shared" si="13"/>
        <v>Myrcia integra</v>
      </c>
      <c r="B846" s="1" t="s">
        <v>787</v>
      </c>
      <c r="C846" s="1" t="s">
        <v>795</v>
      </c>
      <c r="D846" s="1" t="s">
        <v>222</v>
      </c>
      <c r="E846" s="1" t="s">
        <v>213</v>
      </c>
      <c r="F846" s="1" t="s">
        <v>15</v>
      </c>
    </row>
    <row r="847" spans="1:6" x14ac:dyDescent="0.35">
      <c r="A847" t="str">
        <f t="shared" si="13"/>
        <v>Myrcia splendens</v>
      </c>
      <c r="B847" s="1" t="s">
        <v>787</v>
      </c>
      <c r="C847" s="1" t="s">
        <v>613</v>
      </c>
      <c r="D847" s="1" t="s">
        <v>222</v>
      </c>
      <c r="E847" s="1" t="s">
        <v>213</v>
      </c>
      <c r="F847" s="1" t="s">
        <v>15</v>
      </c>
    </row>
    <row r="848" spans="1:6" x14ac:dyDescent="0.35">
      <c r="A848" t="str">
        <f t="shared" si="13"/>
        <v>Myrcia paivae</v>
      </c>
      <c r="B848" s="1" t="s">
        <v>787</v>
      </c>
      <c r="C848" s="1" t="s">
        <v>797</v>
      </c>
      <c r="D848" s="1" t="s">
        <v>222</v>
      </c>
      <c r="E848" s="1" t="s">
        <v>213</v>
      </c>
      <c r="F848" s="1" t="s">
        <v>15</v>
      </c>
    </row>
    <row r="849" spans="1:6" x14ac:dyDescent="0.35">
      <c r="A849" t="str">
        <f t="shared" si="13"/>
        <v>Myrcia servata</v>
      </c>
      <c r="B849" s="1" t="s">
        <v>787</v>
      </c>
      <c r="C849" s="1" t="s">
        <v>798</v>
      </c>
      <c r="D849" s="1" t="s">
        <v>222</v>
      </c>
      <c r="E849" s="1" t="s">
        <v>213</v>
      </c>
      <c r="F849" s="1" t="s">
        <v>15</v>
      </c>
    </row>
    <row r="850" spans="1:6" x14ac:dyDescent="0.35">
      <c r="A850" t="str">
        <f t="shared" si="13"/>
        <v>Myrcia subsericea</v>
      </c>
      <c r="B850" s="1" t="s">
        <v>787</v>
      </c>
      <c r="C850" s="1" t="s">
        <v>799</v>
      </c>
      <c r="D850" s="1" t="s">
        <v>222</v>
      </c>
      <c r="E850" s="1" t="s">
        <v>213</v>
      </c>
      <c r="F850" s="1" t="s">
        <v>15</v>
      </c>
    </row>
    <row r="851" spans="1:6" x14ac:dyDescent="0.35">
      <c r="A851" t="str">
        <f t="shared" si="13"/>
        <v>Myrcia sylvatica</v>
      </c>
      <c r="B851" s="1" t="s">
        <v>787</v>
      </c>
      <c r="C851" s="1" t="s">
        <v>519</v>
      </c>
      <c r="D851" s="1" t="s">
        <v>222</v>
      </c>
      <c r="E851" s="1" t="s">
        <v>213</v>
      </c>
      <c r="F851" s="1" t="s">
        <v>15</v>
      </c>
    </row>
    <row r="852" spans="1:6" x14ac:dyDescent="0.35">
      <c r="A852" t="str">
        <f t="shared" si="13"/>
        <v>Myrciaria floribunda</v>
      </c>
      <c r="B852" s="1" t="s">
        <v>801</v>
      </c>
      <c r="C852" s="1" t="s">
        <v>802</v>
      </c>
      <c r="D852" s="1" t="s">
        <v>222</v>
      </c>
      <c r="E852" s="1" t="s">
        <v>213</v>
      </c>
      <c r="F852" s="1" t="s">
        <v>15</v>
      </c>
    </row>
    <row r="853" spans="1:6" x14ac:dyDescent="0.35">
      <c r="A853" t="str">
        <f t="shared" si="13"/>
        <v>Myrciaria tenella</v>
      </c>
      <c r="B853" s="1" t="s">
        <v>801</v>
      </c>
      <c r="C853" s="1" t="s">
        <v>803</v>
      </c>
      <c r="D853" s="1" t="s">
        <v>222</v>
      </c>
      <c r="E853" s="1" t="s">
        <v>213</v>
      </c>
      <c r="F853" s="1" t="s">
        <v>15</v>
      </c>
    </row>
    <row r="854" spans="1:6" x14ac:dyDescent="0.35">
      <c r="A854" t="str">
        <f t="shared" si="13"/>
        <v>Naucleopsis caloneura</v>
      </c>
      <c r="B854" s="1" t="s">
        <v>812</v>
      </c>
      <c r="C854" s="1" t="s">
        <v>813</v>
      </c>
      <c r="D854" s="1" t="s">
        <v>162</v>
      </c>
      <c r="E854" s="1" t="s">
        <v>82</v>
      </c>
      <c r="F854" s="1" t="s">
        <v>15</v>
      </c>
    </row>
    <row r="855" spans="1:6" x14ac:dyDescent="0.35">
      <c r="A855" t="str">
        <f t="shared" si="13"/>
        <v>Naucleopsis imitans</v>
      </c>
      <c r="B855" s="1" t="s">
        <v>812</v>
      </c>
      <c r="C855" s="1" t="s">
        <v>814</v>
      </c>
      <c r="D855" s="1" t="s">
        <v>162</v>
      </c>
      <c r="E855" s="1" t="s">
        <v>82</v>
      </c>
      <c r="F855" s="1" t="s">
        <v>15</v>
      </c>
    </row>
    <row r="856" spans="1:6" x14ac:dyDescent="0.35">
      <c r="A856" t="str">
        <f t="shared" si="13"/>
        <v>Naucleopsis insculptula</v>
      </c>
      <c r="B856" s="1" t="s">
        <v>812</v>
      </c>
      <c r="C856" s="1" t="s">
        <v>815</v>
      </c>
      <c r="D856" s="1" t="s">
        <v>162</v>
      </c>
      <c r="E856" s="1" t="s">
        <v>82</v>
      </c>
      <c r="F856" s="1" t="s">
        <v>15</v>
      </c>
    </row>
    <row r="857" spans="1:6" x14ac:dyDescent="0.35">
      <c r="A857" t="str">
        <f t="shared" si="13"/>
        <v>Naucleopsis krukovii</v>
      </c>
      <c r="B857" s="1" t="s">
        <v>812</v>
      </c>
      <c r="C857" s="1" t="s">
        <v>816</v>
      </c>
      <c r="D857" s="1" t="s">
        <v>162</v>
      </c>
      <c r="E857" s="1" t="s">
        <v>82</v>
      </c>
      <c r="F857" s="1" t="s">
        <v>15</v>
      </c>
    </row>
    <row r="858" spans="1:6" x14ac:dyDescent="0.35">
      <c r="A858" t="str">
        <f t="shared" si="13"/>
        <v>Naucleopsis ternstroemiiflora</v>
      </c>
      <c r="B858" s="1" t="s">
        <v>812</v>
      </c>
      <c r="C858" s="1" t="s">
        <v>817</v>
      </c>
      <c r="D858" s="1" t="s">
        <v>162</v>
      </c>
      <c r="E858" s="1" t="s">
        <v>82</v>
      </c>
      <c r="F858" s="1" t="s">
        <v>15</v>
      </c>
    </row>
    <row r="859" spans="1:6" x14ac:dyDescent="0.35">
      <c r="A859" t="str">
        <f t="shared" si="13"/>
        <v>Ocotea amazonica</v>
      </c>
      <c r="B859" s="1" t="s">
        <v>837</v>
      </c>
      <c r="C859" s="1" t="s">
        <v>839</v>
      </c>
      <c r="D859" s="1" t="s">
        <v>132</v>
      </c>
      <c r="E859" s="1" t="s">
        <v>133</v>
      </c>
      <c r="F859" s="1" t="s">
        <v>15</v>
      </c>
    </row>
    <row r="860" spans="1:6" x14ac:dyDescent="0.35">
      <c r="A860" t="str">
        <f t="shared" si="13"/>
        <v>Ocotea argyrophylla</v>
      </c>
      <c r="B860" s="1" t="s">
        <v>837</v>
      </c>
      <c r="C860" s="1" t="s">
        <v>840</v>
      </c>
      <c r="D860" s="1" t="s">
        <v>132</v>
      </c>
      <c r="E860" s="1" t="s">
        <v>133</v>
      </c>
      <c r="F860" s="1" t="s">
        <v>15</v>
      </c>
    </row>
    <row r="861" spans="1:6" x14ac:dyDescent="0.35">
      <c r="A861" t="str">
        <f t="shared" si="13"/>
        <v>Ocotea boissieriana</v>
      </c>
      <c r="B861" s="1" t="s">
        <v>837</v>
      </c>
      <c r="C861" s="1" t="s">
        <v>842</v>
      </c>
      <c r="D861" s="1" t="s">
        <v>132</v>
      </c>
      <c r="E861" s="1" t="s">
        <v>133</v>
      </c>
      <c r="F861" s="1" t="s">
        <v>15</v>
      </c>
    </row>
    <row r="862" spans="1:6" x14ac:dyDescent="0.35">
      <c r="A862" t="str">
        <f t="shared" si="13"/>
        <v>Ocotea cujumary</v>
      </c>
      <c r="B862" s="1" t="s">
        <v>837</v>
      </c>
      <c r="C862" s="1" t="s">
        <v>843</v>
      </c>
      <c r="D862" s="1" t="s">
        <v>132</v>
      </c>
      <c r="E862" s="1" t="s">
        <v>133</v>
      </c>
      <c r="F862" s="1" t="s">
        <v>15</v>
      </c>
    </row>
    <row r="863" spans="1:6" x14ac:dyDescent="0.35">
      <c r="A863" t="str">
        <f t="shared" si="13"/>
        <v>Ocotea aurantiodora</v>
      </c>
      <c r="B863" s="1" t="s">
        <v>837</v>
      </c>
      <c r="C863" s="1" t="s">
        <v>841</v>
      </c>
      <c r="D863" s="1" t="s">
        <v>132</v>
      </c>
      <c r="E863" s="1" t="s">
        <v>133</v>
      </c>
      <c r="F863" s="1" t="s">
        <v>15</v>
      </c>
    </row>
    <row r="864" spans="1:6" x14ac:dyDescent="0.35">
      <c r="A864" t="str">
        <f t="shared" si="13"/>
        <v>Ocotea myriantha</v>
      </c>
      <c r="B864" s="1" t="s">
        <v>837</v>
      </c>
      <c r="C864" s="1" t="s">
        <v>845</v>
      </c>
      <c r="D864" s="1" t="s">
        <v>132</v>
      </c>
      <c r="E864" s="1" t="s">
        <v>133</v>
      </c>
      <c r="F864" s="1" t="s">
        <v>15</v>
      </c>
    </row>
    <row r="865" spans="1:6" x14ac:dyDescent="0.35">
      <c r="A865" t="str">
        <f t="shared" si="13"/>
        <v>Ocotea nigrescens</v>
      </c>
      <c r="B865" s="1" t="s">
        <v>837</v>
      </c>
      <c r="C865" s="1" t="s">
        <v>764</v>
      </c>
      <c r="D865" s="1" t="s">
        <v>132</v>
      </c>
      <c r="E865" s="1" t="s">
        <v>133</v>
      </c>
      <c r="F865" s="1" t="s">
        <v>15</v>
      </c>
    </row>
    <row r="866" spans="1:6" x14ac:dyDescent="0.35">
      <c r="A866" t="str">
        <f t="shared" si="13"/>
        <v>Ocotea olivacea</v>
      </c>
      <c r="B866" s="1" t="s">
        <v>837</v>
      </c>
      <c r="C866" s="1" t="s">
        <v>846</v>
      </c>
      <c r="D866" s="1" t="s">
        <v>132</v>
      </c>
      <c r="E866" s="1" t="s">
        <v>133</v>
      </c>
      <c r="F866" s="1" t="s">
        <v>15</v>
      </c>
    </row>
    <row r="867" spans="1:6" x14ac:dyDescent="0.35">
      <c r="A867" t="str">
        <f t="shared" si="13"/>
        <v>Ocotea pauciflora</v>
      </c>
      <c r="B867" s="1" t="s">
        <v>837</v>
      </c>
      <c r="C867" s="1" t="s">
        <v>847</v>
      </c>
      <c r="D867" s="1" t="s">
        <v>132</v>
      </c>
      <c r="E867" s="1" t="s">
        <v>133</v>
      </c>
      <c r="F867" s="1" t="s">
        <v>15</v>
      </c>
    </row>
    <row r="868" spans="1:6" x14ac:dyDescent="0.35">
      <c r="A868" t="str">
        <f t="shared" si="13"/>
        <v>Ocotea percurrens</v>
      </c>
      <c r="B868" s="1" t="s">
        <v>837</v>
      </c>
      <c r="C868" s="1" t="s">
        <v>848</v>
      </c>
      <c r="D868" s="1" t="s">
        <v>132</v>
      </c>
      <c r="E868" s="1" t="s">
        <v>133</v>
      </c>
      <c r="F868" s="1" t="s">
        <v>15</v>
      </c>
    </row>
    <row r="869" spans="1:6" x14ac:dyDescent="0.35">
      <c r="A869" t="str">
        <f t="shared" si="13"/>
        <v>Ocotea scabrella</v>
      </c>
      <c r="B869" s="1" t="s">
        <v>837</v>
      </c>
      <c r="C869" s="1" t="s">
        <v>849</v>
      </c>
      <c r="D869" s="1" t="s">
        <v>132</v>
      </c>
      <c r="E869" s="1" t="s">
        <v>133</v>
      </c>
      <c r="F869" s="1" t="s">
        <v>15</v>
      </c>
    </row>
    <row r="870" spans="1:6" x14ac:dyDescent="0.35">
      <c r="A870" t="str">
        <f t="shared" si="13"/>
        <v>Ocotea splendens</v>
      </c>
      <c r="B870" s="1" t="s">
        <v>837</v>
      </c>
      <c r="C870" s="1" t="s">
        <v>613</v>
      </c>
      <c r="D870" s="1" t="s">
        <v>132</v>
      </c>
      <c r="E870" s="1" t="s">
        <v>133</v>
      </c>
      <c r="F870" s="1" t="s">
        <v>15</v>
      </c>
    </row>
    <row r="871" spans="1:6" x14ac:dyDescent="0.35">
      <c r="A871" t="str">
        <f t="shared" si="13"/>
        <v>Pachira insignis</v>
      </c>
      <c r="B871" s="1" t="s">
        <v>863</v>
      </c>
      <c r="C871" s="1" t="s">
        <v>864</v>
      </c>
      <c r="D871" s="1" t="s">
        <v>280</v>
      </c>
      <c r="E871" s="1" t="s">
        <v>281</v>
      </c>
      <c r="F871" s="1" t="s">
        <v>15</v>
      </c>
    </row>
    <row r="872" spans="1:6" x14ac:dyDescent="0.35">
      <c r="A872" t="str">
        <f t="shared" si="13"/>
        <v>Pachira macrocalyx</v>
      </c>
      <c r="B872" s="1" t="s">
        <v>863</v>
      </c>
      <c r="C872" s="1" t="s">
        <v>865</v>
      </c>
      <c r="D872" s="1" t="s">
        <v>280</v>
      </c>
      <c r="E872" s="1" t="s">
        <v>281</v>
      </c>
      <c r="F872" s="1" t="s">
        <v>15</v>
      </c>
    </row>
    <row r="873" spans="1:6" x14ac:dyDescent="0.35">
      <c r="A873" t="str">
        <f t="shared" si="13"/>
        <v>Pachira minor</v>
      </c>
      <c r="B873" s="1" t="s">
        <v>863</v>
      </c>
      <c r="C873" s="1" t="s">
        <v>866</v>
      </c>
      <c r="D873" s="1" t="s">
        <v>280</v>
      </c>
      <c r="E873" s="1" t="s">
        <v>281</v>
      </c>
      <c r="F873" s="1" t="s">
        <v>15</v>
      </c>
    </row>
    <row r="874" spans="1:6" x14ac:dyDescent="0.35">
      <c r="A874" t="str">
        <f t="shared" si="13"/>
        <v>Pagamea macrophylla</v>
      </c>
      <c r="B874" s="1" t="s">
        <v>867</v>
      </c>
      <c r="C874" s="1" t="s">
        <v>473</v>
      </c>
      <c r="D874" s="1" t="s">
        <v>65</v>
      </c>
      <c r="E874" s="1" t="s">
        <v>66</v>
      </c>
      <c r="F874" s="1" t="s">
        <v>15</v>
      </c>
    </row>
    <row r="875" spans="1:6" x14ac:dyDescent="0.35">
      <c r="A875" t="str">
        <f t="shared" si="13"/>
        <v>Palicourea corymbifera</v>
      </c>
      <c r="B875" s="1" t="s">
        <v>868</v>
      </c>
      <c r="C875" s="1" t="s">
        <v>870</v>
      </c>
      <c r="D875" s="1" t="s">
        <v>65</v>
      </c>
      <c r="E875" s="1" t="s">
        <v>66</v>
      </c>
      <c r="F875" s="1" t="s">
        <v>15</v>
      </c>
    </row>
    <row r="876" spans="1:6" x14ac:dyDescent="0.35">
      <c r="A876" t="str">
        <f t="shared" si="13"/>
        <v>Palicourea virens</v>
      </c>
      <c r="B876" s="1" t="s">
        <v>868</v>
      </c>
      <c r="C876" s="1" t="s">
        <v>874</v>
      </c>
      <c r="D876" s="1" t="s">
        <v>65</v>
      </c>
      <c r="E876" s="1" t="s">
        <v>66</v>
      </c>
      <c r="F876" s="1" t="s">
        <v>15</v>
      </c>
    </row>
    <row r="877" spans="1:6" x14ac:dyDescent="0.35">
      <c r="A877" t="str">
        <f t="shared" si="13"/>
        <v>Pouteria caimito</v>
      </c>
      <c r="B877" s="1" t="s">
        <v>946</v>
      </c>
      <c r="C877" s="1" t="s">
        <v>947</v>
      </c>
      <c r="D877" s="1" t="s">
        <v>318</v>
      </c>
      <c r="E877" s="1" t="s">
        <v>54</v>
      </c>
      <c r="F877" s="1" t="s">
        <v>15</v>
      </c>
    </row>
    <row r="878" spans="1:6" x14ac:dyDescent="0.35">
      <c r="A878" t="str">
        <f t="shared" si="13"/>
        <v>Pouteria cuspidata</v>
      </c>
      <c r="B878" s="1" t="s">
        <v>946</v>
      </c>
      <c r="C878" s="1" t="s">
        <v>791</v>
      </c>
      <c r="D878" s="1" t="s">
        <v>318</v>
      </c>
      <c r="E878" s="1" t="s">
        <v>54</v>
      </c>
      <c r="F878" s="1" t="s">
        <v>15</v>
      </c>
    </row>
    <row r="879" spans="1:6" x14ac:dyDescent="0.35">
      <c r="A879" t="str">
        <f t="shared" si="13"/>
        <v>Protium altsonii</v>
      </c>
      <c r="B879" s="1" t="s">
        <v>952</v>
      </c>
      <c r="C879" s="1" t="s">
        <v>953</v>
      </c>
      <c r="D879" s="1" t="s">
        <v>245</v>
      </c>
      <c r="E879" s="1" t="s">
        <v>22</v>
      </c>
      <c r="F879" s="1" t="s">
        <v>15</v>
      </c>
    </row>
    <row r="880" spans="1:6" x14ac:dyDescent="0.35">
      <c r="A880" t="str">
        <f t="shared" si="13"/>
        <v>Protium amazonicum</v>
      </c>
      <c r="B880" s="1" t="s">
        <v>952</v>
      </c>
      <c r="C880" s="1" t="s">
        <v>954</v>
      </c>
      <c r="D880" s="1" t="s">
        <v>245</v>
      </c>
      <c r="E880" s="1" t="s">
        <v>22</v>
      </c>
      <c r="F880" s="1" t="s">
        <v>15</v>
      </c>
    </row>
    <row r="881" spans="1:6" x14ac:dyDescent="0.35">
      <c r="A881" t="str">
        <f t="shared" si="13"/>
        <v>Protium apiculatum</v>
      </c>
      <c r="B881" s="1" t="s">
        <v>952</v>
      </c>
      <c r="C881" s="1" t="s">
        <v>955</v>
      </c>
      <c r="D881" s="1" t="s">
        <v>245</v>
      </c>
      <c r="E881" s="1" t="s">
        <v>22</v>
      </c>
      <c r="F881" s="1" t="s">
        <v>15</v>
      </c>
    </row>
    <row r="882" spans="1:6" x14ac:dyDescent="0.35">
      <c r="A882" t="str">
        <f t="shared" si="13"/>
        <v>Protium calanense</v>
      </c>
      <c r="B882" s="1" t="s">
        <v>952</v>
      </c>
      <c r="C882" s="1" t="s">
        <v>957</v>
      </c>
      <c r="D882" s="1" t="s">
        <v>245</v>
      </c>
      <c r="E882" s="1" t="s">
        <v>22</v>
      </c>
      <c r="F882" s="1" t="s">
        <v>15</v>
      </c>
    </row>
    <row r="883" spans="1:6" x14ac:dyDescent="0.35">
      <c r="A883" t="str">
        <f t="shared" si="13"/>
        <v>Protium calendulinum</v>
      </c>
      <c r="B883" s="1" t="s">
        <v>952</v>
      </c>
      <c r="C883" s="1" t="s">
        <v>958</v>
      </c>
      <c r="D883" s="1" t="s">
        <v>245</v>
      </c>
      <c r="E883" s="1" t="s">
        <v>22</v>
      </c>
      <c r="F883" s="1" t="s">
        <v>15</v>
      </c>
    </row>
    <row r="884" spans="1:6" x14ac:dyDescent="0.35">
      <c r="A884" t="str">
        <f t="shared" si="13"/>
        <v>Protium crassipetalum</v>
      </c>
      <c r="B884" s="1" t="s">
        <v>952</v>
      </c>
      <c r="C884" s="1" t="s">
        <v>959</v>
      </c>
      <c r="D884" s="1" t="s">
        <v>245</v>
      </c>
      <c r="E884" s="1" t="s">
        <v>22</v>
      </c>
      <c r="F884" s="1" t="s">
        <v>15</v>
      </c>
    </row>
    <row r="885" spans="1:6" x14ac:dyDescent="0.35">
      <c r="A885" t="str">
        <f t="shared" si="13"/>
        <v>Protium decandrum</v>
      </c>
      <c r="B885" s="1" t="s">
        <v>952</v>
      </c>
      <c r="C885" s="1" t="s">
        <v>346</v>
      </c>
      <c r="D885" s="1" t="s">
        <v>245</v>
      </c>
      <c r="E885" s="1" t="s">
        <v>22</v>
      </c>
      <c r="F885" s="1" t="s">
        <v>15</v>
      </c>
    </row>
    <row r="886" spans="1:6" x14ac:dyDescent="0.35">
      <c r="A886" t="str">
        <f t="shared" si="13"/>
        <v>Protium divaricatum</v>
      </c>
      <c r="B886" s="1" t="s">
        <v>952</v>
      </c>
      <c r="C886" s="1" t="s">
        <v>960</v>
      </c>
      <c r="D886" s="1" t="s">
        <v>245</v>
      </c>
      <c r="E886" s="1" t="s">
        <v>22</v>
      </c>
      <c r="F886" s="1" t="s">
        <v>15</v>
      </c>
    </row>
    <row r="887" spans="1:6" x14ac:dyDescent="0.35">
      <c r="A887" t="str">
        <f t="shared" si="13"/>
        <v>Protium elegans</v>
      </c>
      <c r="B887" s="1" t="s">
        <v>952</v>
      </c>
      <c r="C887" s="1" t="s">
        <v>928</v>
      </c>
      <c r="D887" s="1" t="s">
        <v>245</v>
      </c>
      <c r="E887" s="1" t="s">
        <v>22</v>
      </c>
      <c r="F887" s="1" t="s">
        <v>15</v>
      </c>
    </row>
    <row r="888" spans="1:6" x14ac:dyDescent="0.35">
      <c r="A888" t="str">
        <f t="shared" si="13"/>
        <v>Protium ferrugineum</v>
      </c>
      <c r="B888" s="1" t="s">
        <v>952</v>
      </c>
      <c r="C888" s="1" t="s">
        <v>961</v>
      </c>
      <c r="D888" s="1" t="s">
        <v>245</v>
      </c>
      <c r="E888" s="1" t="s">
        <v>22</v>
      </c>
      <c r="F888" s="1" t="s">
        <v>15</v>
      </c>
    </row>
    <row r="889" spans="1:6" x14ac:dyDescent="0.35">
      <c r="A889" t="str">
        <f t="shared" si="13"/>
        <v>Protium gallosum</v>
      </c>
      <c r="B889" s="1" t="s">
        <v>952</v>
      </c>
      <c r="C889" s="1" t="s">
        <v>962</v>
      </c>
      <c r="D889" s="1" t="s">
        <v>245</v>
      </c>
      <c r="E889" s="1" t="s">
        <v>22</v>
      </c>
      <c r="F889" s="1" t="s">
        <v>15</v>
      </c>
    </row>
    <row r="890" spans="1:6" x14ac:dyDescent="0.35">
      <c r="A890" t="str">
        <f t="shared" si="13"/>
        <v>Protium grandifolium</v>
      </c>
      <c r="B890" s="1" t="s">
        <v>952</v>
      </c>
      <c r="C890" s="1" t="s">
        <v>963</v>
      </c>
      <c r="D890" s="1" t="s">
        <v>245</v>
      </c>
      <c r="E890" s="1" t="s">
        <v>22</v>
      </c>
      <c r="F890" s="1" t="s">
        <v>15</v>
      </c>
    </row>
    <row r="891" spans="1:6" x14ac:dyDescent="0.35">
      <c r="A891" t="str">
        <f t="shared" si="13"/>
        <v>Protium hebetatum</v>
      </c>
      <c r="B891" s="1" t="s">
        <v>952</v>
      </c>
      <c r="C891" s="1" t="s">
        <v>964</v>
      </c>
      <c r="D891" s="1" t="s">
        <v>245</v>
      </c>
      <c r="E891" s="1" t="s">
        <v>22</v>
      </c>
      <c r="F891" s="1" t="s">
        <v>15</v>
      </c>
    </row>
    <row r="892" spans="1:6" x14ac:dyDescent="0.35">
      <c r="A892" t="str">
        <f t="shared" si="13"/>
        <v>Protium heptaphyllum</v>
      </c>
      <c r="B892" s="1" t="s">
        <v>952</v>
      </c>
      <c r="C892" s="1" t="s">
        <v>583</v>
      </c>
      <c r="D892" s="1" t="s">
        <v>245</v>
      </c>
      <c r="E892" s="1" t="s">
        <v>22</v>
      </c>
      <c r="F892" s="1" t="s">
        <v>15</v>
      </c>
    </row>
    <row r="893" spans="1:6" x14ac:dyDescent="0.35">
      <c r="A893" t="str">
        <f t="shared" si="13"/>
        <v>Protium laxiflorum</v>
      </c>
      <c r="B893" s="1" t="s">
        <v>952</v>
      </c>
      <c r="C893" s="1" t="s">
        <v>965</v>
      </c>
      <c r="D893" s="1" t="s">
        <v>245</v>
      </c>
      <c r="E893" s="1" t="s">
        <v>22</v>
      </c>
      <c r="F893" s="1" t="s">
        <v>15</v>
      </c>
    </row>
    <row r="894" spans="1:6" x14ac:dyDescent="0.35">
      <c r="A894" t="str">
        <f t="shared" si="13"/>
        <v>Protium occultum</v>
      </c>
      <c r="B894" s="1" t="s">
        <v>952</v>
      </c>
      <c r="C894" s="1" t="s">
        <v>966</v>
      </c>
      <c r="D894" s="1" t="s">
        <v>245</v>
      </c>
      <c r="E894" s="1" t="s">
        <v>22</v>
      </c>
      <c r="F894" s="1" t="s">
        <v>15</v>
      </c>
    </row>
    <row r="895" spans="1:6" x14ac:dyDescent="0.35">
      <c r="A895" t="str">
        <f t="shared" si="13"/>
        <v>Protium paniculatum</v>
      </c>
      <c r="B895" s="1" t="s">
        <v>952</v>
      </c>
      <c r="C895" s="1" t="s">
        <v>968</v>
      </c>
      <c r="D895" s="1" t="s">
        <v>245</v>
      </c>
      <c r="E895" s="1" t="s">
        <v>22</v>
      </c>
      <c r="F895" s="1" t="s">
        <v>15</v>
      </c>
    </row>
    <row r="896" spans="1:6" x14ac:dyDescent="0.35">
      <c r="A896" t="str">
        <f t="shared" si="13"/>
        <v>Protium pilosissimum</v>
      </c>
      <c r="B896" s="1" t="s">
        <v>952</v>
      </c>
      <c r="C896" s="1" t="s">
        <v>969</v>
      </c>
      <c r="D896" s="1" t="s">
        <v>245</v>
      </c>
      <c r="E896" s="1" t="s">
        <v>22</v>
      </c>
      <c r="F896" s="1" t="s">
        <v>15</v>
      </c>
    </row>
    <row r="897" spans="1:6" x14ac:dyDescent="0.35">
      <c r="A897" t="str">
        <f t="shared" si="13"/>
        <v>Protium pilosum</v>
      </c>
      <c r="B897" s="1" t="s">
        <v>952</v>
      </c>
      <c r="C897" s="1" t="s">
        <v>970</v>
      </c>
      <c r="D897" s="1" t="s">
        <v>245</v>
      </c>
      <c r="E897" s="1" t="s">
        <v>22</v>
      </c>
      <c r="F897" s="1" t="s">
        <v>15</v>
      </c>
    </row>
    <row r="898" spans="1:6" x14ac:dyDescent="0.35">
      <c r="A898" t="str">
        <f t="shared" si="13"/>
        <v>Protium spruceanum</v>
      </c>
      <c r="B898" s="1" t="s">
        <v>952</v>
      </c>
      <c r="C898" s="1" t="s">
        <v>971</v>
      </c>
      <c r="D898" s="1" t="s">
        <v>245</v>
      </c>
      <c r="E898" s="1" t="s">
        <v>22</v>
      </c>
      <c r="F898" s="1" t="s">
        <v>15</v>
      </c>
    </row>
    <row r="899" spans="1:6" x14ac:dyDescent="0.35">
      <c r="A899" t="str">
        <f t="shared" ref="A899:A924" si="14">_xlfn.CONCAT($B899, " ", $C899)</f>
        <v>Protium strumosum</v>
      </c>
      <c r="B899" s="1" t="s">
        <v>952</v>
      </c>
      <c r="C899" s="1" t="s">
        <v>972</v>
      </c>
      <c r="D899" s="1" t="s">
        <v>245</v>
      </c>
      <c r="E899" s="1" t="s">
        <v>22</v>
      </c>
      <c r="F899" s="1" t="s">
        <v>15</v>
      </c>
    </row>
    <row r="900" spans="1:6" x14ac:dyDescent="0.35">
      <c r="A900" t="str">
        <f t="shared" si="14"/>
        <v>Protium tenuifolium</v>
      </c>
      <c r="B900" s="1" t="s">
        <v>952</v>
      </c>
      <c r="C900" s="1" t="s">
        <v>920</v>
      </c>
      <c r="D900" s="1" t="s">
        <v>245</v>
      </c>
      <c r="E900" s="1" t="s">
        <v>22</v>
      </c>
      <c r="F900" s="1" t="s">
        <v>15</v>
      </c>
    </row>
    <row r="901" spans="1:6" x14ac:dyDescent="0.35">
      <c r="A901" t="str">
        <f t="shared" si="14"/>
        <v>Protium trifoliolatum</v>
      </c>
      <c r="B901" s="1" t="s">
        <v>952</v>
      </c>
      <c r="C901" s="1" t="s">
        <v>974</v>
      </c>
      <c r="D901" s="1" t="s">
        <v>245</v>
      </c>
      <c r="E901" s="1" t="s">
        <v>22</v>
      </c>
      <c r="F901" s="1" t="s">
        <v>15</v>
      </c>
    </row>
    <row r="902" spans="1:6" x14ac:dyDescent="0.35">
      <c r="A902" t="str">
        <f t="shared" si="14"/>
        <v>Protium unifoliolatum</v>
      </c>
      <c r="B902" s="1" t="s">
        <v>952</v>
      </c>
      <c r="C902" s="1" t="s">
        <v>975</v>
      </c>
      <c r="D902" s="1" t="s">
        <v>245</v>
      </c>
      <c r="E902" s="1" t="s">
        <v>22</v>
      </c>
      <c r="F902" s="1" t="s">
        <v>15</v>
      </c>
    </row>
    <row r="903" spans="1:6" x14ac:dyDescent="0.35">
      <c r="A903" t="str">
        <f t="shared" si="14"/>
        <v>Protium urophyllidium</v>
      </c>
      <c r="B903" s="1" t="s">
        <v>952</v>
      </c>
      <c r="C903" s="1" t="s">
        <v>976</v>
      </c>
      <c r="D903" s="1" t="s">
        <v>245</v>
      </c>
      <c r="E903" s="1" t="s">
        <v>22</v>
      </c>
      <c r="F903" s="1" t="s">
        <v>15</v>
      </c>
    </row>
    <row r="904" spans="1:6" x14ac:dyDescent="0.35">
      <c r="A904" t="str">
        <f t="shared" si="14"/>
        <v>Palicourea amplectens</v>
      </c>
      <c r="B904" s="1" t="s">
        <v>868</v>
      </c>
      <c r="C904" s="1" t="s">
        <v>869</v>
      </c>
      <c r="D904" s="1" t="s">
        <v>65</v>
      </c>
      <c r="E904" s="1" t="s">
        <v>66</v>
      </c>
      <c r="F904" s="1" t="s">
        <v>15</v>
      </c>
    </row>
    <row r="905" spans="1:6" x14ac:dyDescent="0.35">
      <c r="A905" t="str">
        <f t="shared" si="14"/>
        <v>Palicourea hoffmannseggiana</v>
      </c>
      <c r="B905" s="1" t="s">
        <v>868</v>
      </c>
      <c r="C905" s="1" t="s">
        <v>872</v>
      </c>
      <c r="D905" s="1" t="s">
        <v>65</v>
      </c>
      <c r="E905" s="1" t="s">
        <v>66</v>
      </c>
      <c r="F905" s="1" t="s">
        <v>15</v>
      </c>
    </row>
    <row r="906" spans="1:6" x14ac:dyDescent="0.35">
      <c r="A906" t="str">
        <f t="shared" si="14"/>
        <v>Carapichea pacimonica</v>
      </c>
      <c r="B906" s="1" t="s">
        <v>249</v>
      </c>
      <c r="C906" s="1" t="s">
        <v>250</v>
      </c>
      <c r="D906" s="1" t="s">
        <v>65</v>
      </c>
      <c r="E906" s="1" t="s">
        <v>66</v>
      </c>
      <c r="F906" s="1" t="s">
        <v>15</v>
      </c>
    </row>
    <row r="907" spans="1:6" x14ac:dyDescent="0.35">
      <c r="A907" t="str">
        <f t="shared" si="14"/>
        <v>Palicourea dichotoma</v>
      </c>
      <c r="B907" s="1" t="s">
        <v>868</v>
      </c>
      <c r="C907" s="1" t="s">
        <v>871</v>
      </c>
      <c r="D907" s="1" t="s">
        <v>65</v>
      </c>
      <c r="E907" s="1" t="s">
        <v>66</v>
      </c>
      <c r="F907" s="1" t="s">
        <v>15</v>
      </c>
    </row>
    <row r="908" spans="1:6" x14ac:dyDescent="0.35">
      <c r="A908" t="str">
        <f t="shared" si="14"/>
        <v>Psychotria rhombibractea</v>
      </c>
      <c r="B908" s="1" t="s">
        <v>999</v>
      </c>
      <c r="C908" s="1" t="s">
        <v>1001</v>
      </c>
      <c r="D908" s="1" t="s">
        <v>65</v>
      </c>
      <c r="E908" s="1" t="s">
        <v>66</v>
      </c>
      <c r="F908" s="1" t="s">
        <v>15</v>
      </c>
    </row>
    <row r="909" spans="1:6" x14ac:dyDescent="0.35">
      <c r="A909" t="str">
        <f t="shared" si="14"/>
        <v>Palicourea spicata</v>
      </c>
      <c r="B909" s="1" t="s">
        <v>868</v>
      </c>
      <c r="C909" s="1" t="s">
        <v>873</v>
      </c>
      <c r="D909" s="1" t="s">
        <v>65</v>
      </c>
      <c r="E909" s="1" t="s">
        <v>66</v>
      </c>
      <c r="F909" s="1" t="s">
        <v>15</v>
      </c>
    </row>
    <row r="910" spans="1:6" x14ac:dyDescent="0.35">
      <c r="A910" t="str">
        <f t="shared" si="14"/>
        <v>Chassalia subnuda</v>
      </c>
      <c r="B910" s="1" t="s">
        <v>302</v>
      </c>
      <c r="C910" s="1" t="s">
        <v>303</v>
      </c>
      <c r="D910" s="1" t="s">
        <v>65</v>
      </c>
      <c r="E910" s="1" t="s">
        <v>66</v>
      </c>
      <c r="F910" s="1" t="s">
        <v>15</v>
      </c>
    </row>
    <row r="911" spans="1:6" x14ac:dyDescent="0.35">
      <c r="A911" t="str">
        <f t="shared" si="14"/>
        <v>Rhodostemonodaphne crenaticupula</v>
      </c>
      <c r="B911" s="1" t="s">
        <v>1037</v>
      </c>
      <c r="C911" s="1" t="s">
        <v>1038</v>
      </c>
      <c r="D911" s="1" t="s">
        <v>132</v>
      </c>
      <c r="E911" s="1" t="s">
        <v>133</v>
      </c>
      <c r="F911" s="1" t="s">
        <v>15</v>
      </c>
    </row>
    <row r="912" spans="1:6" x14ac:dyDescent="0.35">
      <c r="A912" t="str">
        <f t="shared" si="14"/>
        <v>Rhodostemonodaphne paniculata</v>
      </c>
      <c r="B912" s="1" t="s">
        <v>1037</v>
      </c>
      <c r="C912" s="1" t="s">
        <v>636</v>
      </c>
      <c r="D912" s="1" t="s">
        <v>132</v>
      </c>
      <c r="E912" s="1" t="s">
        <v>133</v>
      </c>
      <c r="F912" s="1" t="s">
        <v>15</v>
      </c>
    </row>
    <row r="913" spans="1:6" x14ac:dyDescent="0.35">
      <c r="A913" t="str">
        <f t="shared" si="14"/>
        <v>Rhodostemonodaphne parvifolia</v>
      </c>
      <c r="B913" s="1" t="s">
        <v>1037</v>
      </c>
      <c r="C913" s="1" t="s">
        <v>1039</v>
      </c>
      <c r="D913" s="1" t="s">
        <v>132</v>
      </c>
      <c r="E913" s="1" t="s">
        <v>133</v>
      </c>
      <c r="F913" s="1" t="s">
        <v>15</v>
      </c>
    </row>
    <row r="914" spans="1:6" x14ac:dyDescent="0.35">
      <c r="A914" t="str">
        <f t="shared" si="14"/>
        <v>Rudgea cornifolia</v>
      </c>
      <c r="B914" s="1" t="s">
        <v>1056</v>
      </c>
      <c r="C914" s="1" t="s">
        <v>1057</v>
      </c>
      <c r="D914" s="1" t="s">
        <v>65</v>
      </c>
      <c r="E914" s="1" t="s">
        <v>66</v>
      </c>
      <c r="F914" s="1" t="s">
        <v>15</v>
      </c>
    </row>
    <row r="915" spans="1:6" x14ac:dyDescent="0.35">
      <c r="A915" t="str">
        <f t="shared" si="14"/>
        <v>Rudgea lanceifolia</v>
      </c>
      <c r="B915" s="1" t="s">
        <v>1056</v>
      </c>
      <c r="C915" s="1" t="s">
        <v>1058</v>
      </c>
      <c r="D915" s="1" t="s">
        <v>65</v>
      </c>
      <c r="E915" s="1" t="s">
        <v>66</v>
      </c>
      <c r="F915" s="1" t="s">
        <v>15</v>
      </c>
    </row>
    <row r="916" spans="1:6" x14ac:dyDescent="0.35">
      <c r="A916" t="str">
        <f t="shared" si="14"/>
        <v>Scleronema micranthum</v>
      </c>
      <c r="B916" s="1" t="s">
        <v>1090</v>
      </c>
      <c r="C916" s="1" t="s">
        <v>331</v>
      </c>
      <c r="D916" s="1" t="s">
        <v>280</v>
      </c>
      <c r="E916" s="1" t="s">
        <v>281</v>
      </c>
      <c r="F916" s="1" t="s">
        <v>15</v>
      </c>
    </row>
    <row r="917" spans="1:6" x14ac:dyDescent="0.35">
      <c r="A917" t="str">
        <f t="shared" si="14"/>
        <v>Simira rubescens</v>
      </c>
      <c r="B917" s="1" t="s">
        <v>1093</v>
      </c>
      <c r="C917" s="1" t="s">
        <v>225</v>
      </c>
      <c r="D917" s="1" t="s">
        <v>65</v>
      </c>
      <c r="E917" s="1" t="s">
        <v>66</v>
      </c>
      <c r="F917" s="1" t="s">
        <v>15</v>
      </c>
    </row>
    <row r="918" spans="1:6" x14ac:dyDescent="0.35">
      <c r="A918" t="str">
        <f t="shared" si="14"/>
        <v>Sorocea guilleminiana</v>
      </c>
      <c r="B918" s="1" t="s">
        <v>1102</v>
      </c>
      <c r="C918" s="1" t="s">
        <v>1103</v>
      </c>
      <c r="D918" s="1" t="s">
        <v>162</v>
      </c>
      <c r="E918" s="1" t="s">
        <v>82</v>
      </c>
      <c r="F918" s="1" t="s">
        <v>15</v>
      </c>
    </row>
    <row r="919" spans="1:6" x14ac:dyDescent="0.35">
      <c r="A919" t="str">
        <f t="shared" si="14"/>
        <v>Sorocea pubivena</v>
      </c>
      <c r="B919" s="1" t="s">
        <v>1102</v>
      </c>
      <c r="C919" s="1" t="s">
        <v>1105</v>
      </c>
      <c r="D919" s="1" t="s">
        <v>162</v>
      </c>
      <c r="E919" s="1" t="s">
        <v>82</v>
      </c>
      <c r="F919" s="1" t="s">
        <v>15</v>
      </c>
    </row>
    <row r="920" spans="1:6" x14ac:dyDescent="0.35">
      <c r="A920" t="str">
        <f t="shared" si="14"/>
        <v>Sorocea muriculata</v>
      </c>
      <c r="B920" s="1" t="s">
        <v>1102</v>
      </c>
      <c r="C920" s="1" t="s">
        <v>1104</v>
      </c>
      <c r="D920" s="1" t="s">
        <v>162</v>
      </c>
      <c r="E920" s="1" t="s">
        <v>82</v>
      </c>
      <c r="F920" s="1" t="s">
        <v>15</v>
      </c>
    </row>
    <row r="921" spans="1:6" x14ac:dyDescent="0.35">
      <c r="A921" t="str">
        <f t="shared" si="14"/>
        <v>Stachyarrhena acuminata</v>
      </c>
      <c r="B921" s="1" t="s">
        <v>1110</v>
      </c>
      <c r="C921" s="1" t="s">
        <v>725</v>
      </c>
      <c r="D921" s="1" t="s">
        <v>65</v>
      </c>
      <c r="E921" s="1" t="s">
        <v>66</v>
      </c>
      <c r="F921" s="1" t="s">
        <v>15</v>
      </c>
    </row>
    <row r="922" spans="1:6" x14ac:dyDescent="0.35">
      <c r="A922" t="str">
        <f t="shared" si="14"/>
        <v>Trymatococcus amazonicus</v>
      </c>
      <c r="B922" s="1" t="s">
        <v>1164</v>
      </c>
      <c r="C922" s="1" t="s">
        <v>1165</v>
      </c>
      <c r="D922" s="1" t="s">
        <v>162</v>
      </c>
      <c r="E922" s="1" t="s">
        <v>82</v>
      </c>
      <c r="F922" s="1" t="s">
        <v>15</v>
      </c>
    </row>
    <row r="923" spans="1:6" x14ac:dyDescent="0.35">
      <c r="A923" t="str">
        <f t="shared" si="14"/>
        <v>Zygia inaequalis</v>
      </c>
      <c r="B923" s="1" t="s">
        <v>1199</v>
      </c>
      <c r="C923" s="1" t="s">
        <v>1200</v>
      </c>
      <c r="D923" s="1" t="s">
        <v>13</v>
      </c>
      <c r="E923" s="1" t="s">
        <v>14</v>
      </c>
      <c r="F923" s="1" t="s">
        <v>15</v>
      </c>
    </row>
    <row r="924" spans="1:6" x14ac:dyDescent="0.35">
      <c r="A924" t="str">
        <f t="shared" si="14"/>
        <v>Handroanthus ochraceus</v>
      </c>
      <c r="B924" s="1" t="s">
        <v>572</v>
      </c>
      <c r="C924" s="1" t="s">
        <v>574</v>
      </c>
      <c r="D924" s="1" t="s">
        <v>276</v>
      </c>
      <c r="E924" s="1" t="s">
        <v>277</v>
      </c>
      <c r="F924" s="1" t="s">
        <v>15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735A-7BFB-4ECD-A9F9-E5986D951BF7}">
  <dimension ref="A1:B63"/>
  <sheetViews>
    <sheetView workbookViewId="0">
      <selection activeCell="D58" sqref="D58"/>
    </sheetView>
  </sheetViews>
  <sheetFormatPr defaultRowHeight="14.5" x14ac:dyDescent="0.35"/>
  <cols>
    <col min="1" max="1" width="23.36328125" bestFit="1" customWidth="1"/>
    <col min="2" max="2" width="9.54296875" customWidth="1"/>
  </cols>
  <sheetData>
    <row r="1" spans="1:2" x14ac:dyDescent="0.35">
      <c r="A1" t="s">
        <v>1201</v>
      </c>
      <c r="B1" t="s">
        <v>1336</v>
      </c>
    </row>
    <row r="2" spans="1:2" x14ac:dyDescent="0.35">
      <c r="A2" s="1" t="s">
        <v>1337</v>
      </c>
      <c r="B2" s="1" t="s">
        <v>15</v>
      </c>
    </row>
    <row r="3" spans="1:2" x14ac:dyDescent="0.35">
      <c r="A3" s="1" t="s">
        <v>1338</v>
      </c>
      <c r="B3" s="1" t="s">
        <v>15</v>
      </c>
    </row>
    <row r="4" spans="1:2" x14ac:dyDescent="0.35">
      <c r="A4" s="1" t="s">
        <v>1339</v>
      </c>
      <c r="B4" s="1" t="s">
        <v>15</v>
      </c>
    </row>
    <row r="5" spans="1:2" x14ac:dyDescent="0.35">
      <c r="A5" s="1" t="s">
        <v>1340</v>
      </c>
      <c r="B5" s="1" t="s">
        <v>15</v>
      </c>
    </row>
    <row r="6" spans="1:2" x14ac:dyDescent="0.35">
      <c r="A6" s="1" t="s">
        <v>1341</v>
      </c>
      <c r="B6" s="1" t="s">
        <v>1342</v>
      </c>
    </row>
    <row r="7" spans="1:2" x14ac:dyDescent="0.35">
      <c r="A7" s="1" t="s">
        <v>1343</v>
      </c>
      <c r="B7" s="1" t="s">
        <v>15</v>
      </c>
    </row>
    <row r="8" spans="1:2" x14ac:dyDescent="0.35">
      <c r="A8" s="1" t="s">
        <v>1344</v>
      </c>
      <c r="B8" s="1" t="s">
        <v>15</v>
      </c>
    </row>
    <row r="9" spans="1:2" x14ac:dyDescent="0.35">
      <c r="A9" s="1" t="s">
        <v>1345</v>
      </c>
      <c r="B9" s="1" t="s">
        <v>15</v>
      </c>
    </row>
    <row r="10" spans="1:2" x14ac:dyDescent="0.35">
      <c r="A10" s="1" t="s">
        <v>1346</v>
      </c>
      <c r="B10" s="1" t="s">
        <v>15</v>
      </c>
    </row>
    <row r="11" spans="1:2" x14ac:dyDescent="0.35">
      <c r="A11" s="1" t="s">
        <v>1347</v>
      </c>
      <c r="B11" s="1" t="s">
        <v>15</v>
      </c>
    </row>
    <row r="12" spans="1:2" x14ac:dyDescent="0.35">
      <c r="A12" s="1" t="s">
        <v>1348</v>
      </c>
      <c r="B12" s="1" t="s">
        <v>326</v>
      </c>
    </row>
    <row r="13" spans="1:2" x14ac:dyDescent="0.35">
      <c r="A13" s="1" t="s">
        <v>1349</v>
      </c>
      <c r="B13" s="1" t="s">
        <v>15</v>
      </c>
    </row>
    <row r="14" spans="1:2" x14ac:dyDescent="0.35">
      <c r="A14" s="1" t="s">
        <v>1350</v>
      </c>
      <c r="B14" s="1" t="s">
        <v>15</v>
      </c>
    </row>
    <row r="15" spans="1:2" x14ac:dyDescent="0.35">
      <c r="A15" s="1" t="s">
        <v>1351</v>
      </c>
      <c r="B15" s="1" t="s">
        <v>326</v>
      </c>
    </row>
    <row r="16" spans="1:2" x14ac:dyDescent="0.35">
      <c r="A16" s="1" t="s">
        <v>1352</v>
      </c>
      <c r="B16" s="1" t="s">
        <v>1353</v>
      </c>
    </row>
    <row r="17" spans="1:2" x14ac:dyDescent="0.35">
      <c r="A17" s="1" t="s">
        <v>1354</v>
      </c>
      <c r="B17" s="1" t="s">
        <v>15</v>
      </c>
    </row>
    <row r="18" spans="1:2" x14ac:dyDescent="0.35">
      <c r="A18" s="1" t="s">
        <v>1355</v>
      </c>
      <c r="B18" s="1" t="s">
        <v>15</v>
      </c>
    </row>
    <row r="19" spans="1:2" x14ac:dyDescent="0.35">
      <c r="A19" s="1" t="s">
        <v>1356</v>
      </c>
      <c r="B19" s="1" t="s">
        <v>15</v>
      </c>
    </row>
    <row r="20" spans="1:2" x14ac:dyDescent="0.35">
      <c r="A20" s="1" t="s">
        <v>1357</v>
      </c>
      <c r="B20" s="1" t="s">
        <v>15</v>
      </c>
    </row>
    <row r="21" spans="1:2" x14ac:dyDescent="0.35">
      <c r="A21" s="1" t="s">
        <v>1358</v>
      </c>
      <c r="B21" s="1" t="s">
        <v>326</v>
      </c>
    </row>
    <row r="22" spans="1:2" x14ac:dyDescent="0.35">
      <c r="A22" s="1" t="s">
        <v>1359</v>
      </c>
      <c r="B22" s="1" t="s">
        <v>15</v>
      </c>
    </row>
    <row r="23" spans="1:2" x14ac:dyDescent="0.35">
      <c r="A23" s="1" t="s">
        <v>1360</v>
      </c>
      <c r="B23" s="1" t="s">
        <v>15</v>
      </c>
    </row>
    <row r="24" spans="1:2" x14ac:dyDescent="0.35">
      <c r="A24" s="1" t="s">
        <v>1361</v>
      </c>
      <c r="B24" s="1" t="s">
        <v>15</v>
      </c>
    </row>
    <row r="25" spans="1:2" x14ac:dyDescent="0.35">
      <c r="A25" s="1" t="s">
        <v>1362</v>
      </c>
      <c r="B25" s="1" t="s">
        <v>15</v>
      </c>
    </row>
    <row r="26" spans="1:2" x14ac:dyDescent="0.35">
      <c r="A26" s="1" t="s">
        <v>1363</v>
      </c>
      <c r="B26" s="1" t="s">
        <v>15</v>
      </c>
    </row>
    <row r="27" spans="1:2" x14ac:dyDescent="0.35">
      <c r="A27" s="1" t="s">
        <v>1364</v>
      </c>
      <c r="B27" s="1" t="s">
        <v>15</v>
      </c>
    </row>
    <row r="28" spans="1:2" x14ac:dyDescent="0.35">
      <c r="A28" s="1" t="s">
        <v>1365</v>
      </c>
      <c r="B28" s="1" t="s">
        <v>15</v>
      </c>
    </row>
    <row r="29" spans="1:2" x14ac:dyDescent="0.35">
      <c r="A29" s="1" t="s">
        <v>1366</v>
      </c>
      <c r="B29" s="1" t="s">
        <v>1342</v>
      </c>
    </row>
    <row r="30" spans="1:2" x14ac:dyDescent="0.35">
      <c r="A30" s="1" t="s">
        <v>1367</v>
      </c>
      <c r="B30" s="1" t="s">
        <v>15</v>
      </c>
    </row>
    <row r="31" spans="1:2" x14ac:dyDescent="0.35">
      <c r="A31" s="1" t="s">
        <v>1368</v>
      </c>
      <c r="B31" s="1" t="s">
        <v>15</v>
      </c>
    </row>
    <row r="32" spans="1:2" x14ac:dyDescent="0.35">
      <c r="A32" s="1" t="s">
        <v>1369</v>
      </c>
      <c r="B32" s="1" t="s">
        <v>15</v>
      </c>
    </row>
    <row r="33" spans="1:2" x14ac:dyDescent="0.35">
      <c r="A33" s="1" t="s">
        <v>1370</v>
      </c>
      <c r="B33" s="1" t="s">
        <v>15</v>
      </c>
    </row>
    <row r="34" spans="1:2" x14ac:dyDescent="0.35">
      <c r="A34" s="1" t="s">
        <v>1371</v>
      </c>
      <c r="B34" s="1" t="s">
        <v>15</v>
      </c>
    </row>
    <row r="35" spans="1:2" x14ac:dyDescent="0.35">
      <c r="A35" s="1" t="s">
        <v>1372</v>
      </c>
      <c r="B35" s="1" t="s">
        <v>15</v>
      </c>
    </row>
    <row r="36" spans="1:2" x14ac:dyDescent="0.35">
      <c r="A36" s="1" t="s">
        <v>1373</v>
      </c>
      <c r="B36" s="1" t="s">
        <v>15</v>
      </c>
    </row>
    <row r="37" spans="1:2" x14ac:dyDescent="0.35">
      <c r="A37" s="1" t="s">
        <v>1374</v>
      </c>
      <c r="B37" s="1" t="s">
        <v>15</v>
      </c>
    </row>
    <row r="38" spans="1:2" x14ac:dyDescent="0.35">
      <c r="A38" s="1" t="s">
        <v>1375</v>
      </c>
      <c r="B38" s="1" t="s">
        <v>15</v>
      </c>
    </row>
    <row r="39" spans="1:2" x14ac:dyDescent="0.35">
      <c r="A39" s="1" t="s">
        <v>1376</v>
      </c>
      <c r="B39" s="1" t="s">
        <v>326</v>
      </c>
    </row>
    <row r="40" spans="1:2" x14ac:dyDescent="0.35">
      <c r="A40" s="1" t="s">
        <v>1377</v>
      </c>
      <c r="B40" s="1" t="s">
        <v>15</v>
      </c>
    </row>
    <row r="41" spans="1:2" x14ac:dyDescent="0.35">
      <c r="A41" s="1" t="s">
        <v>1378</v>
      </c>
      <c r="B41" s="1" t="s">
        <v>15</v>
      </c>
    </row>
    <row r="42" spans="1:2" x14ac:dyDescent="0.35">
      <c r="A42" s="1" t="s">
        <v>1379</v>
      </c>
      <c r="B42" s="1" t="s">
        <v>15</v>
      </c>
    </row>
    <row r="43" spans="1:2" x14ac:dyDescent="0.35">
      <c r="A43" s="1" t="s">
        <v>1380</v>
      </c>
      <c r="B43" s="1" t="s">
        <v>15</v>
      </c>
    </row>
    <row r="44" spans="1:2" x14ac:dyDescent="0.35">
      <c r="A44" s="1" t="s">
        <v>1381</v>
      </c>
      <c r="B44" s="1" t="s">
        <v>1353</v>
      </c>
    </row>
    <row r="45" spans="1:2" x14ac:dyDescent="0.35">
      <c r="A45" s="1" t="s">
        <v>1382</v>
      </c>
      <c r="B45" s="1" t="s">
        <v>15</v>
      </c>
    </row>
    <row r="46" spans="1:2" x14ac:dyDescent="0.35">
      <c r="A46" s="1" t="s">
        <v>1383</v>
      </c>
      <c r="B46" s="1" t="s">
        <v>15</v>
      </c>
    </row>
    <row r="47" spans="1:2" x14ac:dyDescent="0.35">
      <c r="A47" s="1" t="s">
        <v>1384</v>
      </c>
      <c r="B47" s="1" t="s">
        <v>1353</v>
      </c>
    </row>
    <row r="48" spans="1:2" x14ac:dyDescent="0.35">
      <c r="A48" s="1" t="s">
        <v>1385</v>
      </c>
      <c r="B48" s="1" t="s">
        <v>1342</v>
      </c>
    </row>
    <row r="49" spans="1:2" x14ac:dyDescent="0.35">
      <c r="A49" s="1" t="s">
        <v>1386</v>
      </c>
      <c r="B49" s="1" t="s">
        <v>15</v>
      </c>
    </row>
    <row r="50" spans="1:2" x14ac:dyDescent="0.35">
      <c r="A50" s="1" t="s">
        <v>1387</v>
      </c>
      <c r="B50" s="1" t="s">
        <v>1342</v>
      </c>
    </row>
    <row r="51" spans="1:2" x14ac:dyDescent="0.35">
      <c r="A51" s="1" t="s">
        <v>1388</v>
      </c>
      <c r="B51" s="1" t="s">
        <v>1342</v>
      </c>
    </row>
    <row r="52" spans="1:2" x14ac:dyDescent="0.35">
      <c r="A52" s="1" t="s">
        <v>1389</v>
      </c>
      <c r="B52" s="1" t="s">
        <v>15</v>
      </c>
    </row>
    <row r="53" spans="1:2" x14ac:dyDescent="0.35">
      <c r="A53" s="1" t="s">
        <v>1390</v>
      </c>
      <c r="B53" s="1" t="s">
        <v>15</v>
      </c>
    </row>
    <row r="54" spans="1:2" x14ac:dyDescent="0.35">
      <c r="A54" s="1" t="s">
        <v>1391</v>
      </c>
      <c r="B54" s="1" t="s">
        <v>15</v>
      </c>
    </row>
    <row r="55" spans="1:2" x14ac:dyDescent="0.35">
      <c r="A55" s="1" t="s">
        <v>1392</v>
      </c>
      <c r="B55" s="1" t="s">
        <v>15</v>
      </c>
    </row>
    <row r="56" spans="1:2" x14ac:dyDescent="0.35">
      <c r="A56" s="1" t="s">
        <v>1393</v>
      </c>
      <c r="B56" s="1" t="s">
        <v>15</v>
      </c>
    </row>
    <row r="57" spans="1:2" x14ac:dyDescent="0.35">
      <c r="A57" s="1" t="s">
        <v>1394</v>
      </c>
      <c r="B57" s="1" t="s">
        <v>15</v>
      </c>
    </row>
    <row r="58" spans="1:2" x14ac:dyDescent="0.35">
      <c r="A58" s="1" t="s">
        <v>1395</v>
      </c>
      <c r="B58" s="1" t="s">
        <v>15</v>
      </c>
    </row>
    <row r="59" spans="1:2" x14ac:dyDescent="0.35">
      <c r="A59" s="1" t="s">
        <v>1396</v>
      </c>
      <c r="B59" s="1" t="s">
        <v>15</v>
      </c>
    </row>
    <row r="60" spans="1:2" x14ac:dyDescent="0.35">
      <c r="A60" s="1" t="s">
        <v>1397</v>
      </c>
      <c r="B60" s="1" t="s">
        <v>15</v>
      </c>
    </row>
    <row r="61" spans="1:2" x14ac:dyDescent="0.35">
      <c r="A61" s="1" t="s">
        <v>1398</v>
      </c>
      <c r="B61" s="1" t="s">
        <v>15</v>
      </c>
    </row>
    <row r="62" spans="1:2" x14ac:dyDescent="0.35">
      <c r="A62" s="1" t="s">
        <v>1399</v>
      </c>
      <c r="B62" s="1" t="s">
        <v>15</v>
      </c>
    </row>
    <row r="63" spans="1:2" x14ac:dyDescent="0.35">
      <c r="A63" s="1" t="s">
        <v>1400</v>
      </c>
      <c r="B63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E610-DF07-475A-8C85-0262A654918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89C1B8-8F1D-46F7-9728-D018AD2907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FRED4</vt:lpstr>
      <vt:lpstr>Maherali 2016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Anoban Karunananthan</dc:creator>
  <cp:lastModifiedBy>Anoban Karunananthan</cp:lastModifiedBy>
  <dcterms:created xsi:type="dcterms:W3CDTF">2026-05-14T07:38:56Z</dcterms:created>
  <dcterms:modified xsi:type="dcterms:W3CDTF">2026-05-17T03:43:05Z</dcterms:modified>
</cp:coreProperties>
</file>