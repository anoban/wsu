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esternsydneyedu-my.sharepoint.com/personal/90963425_westernsydney_edu_au/Documents/PhD/code/data/chapter4/"/>
    </mc:Choice>
  </mc:AlternateContent>
  <xr:revisionPtr revIDLastSave="139" documentId="8_{03D85B34-8F18-7A4E-A411-1A81DFA14A48}" xr6:coauthVersionLast="47" xr6:coauthVersionMax="47" xr10:uidLastSave="{783FE0FF-36FD-40FF-8B7E-0A43058FDE6E}"/>
  <bookViews>
    <workbookView xWindow="-120" yWindow="-120" windowWidth="29040" windowHeight="15840" xr2:uid="{223EAF87-146A-B847-AC95-04BC7DF97D51}"/>
  </bookViews>
  <sheets>
    <sheet name="jay_all" sheetId="1" r:id="rId1"/>
    <sheet name="jay_themeda" sheetId="4" r:id="rId2"/>
    <sheet name="vin_seeds" sheetId="2" r:id="rId3"/>
    <sheet name="climate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71" i="1" l="1"/>
  <c r="F69" i="1"/>
  <c r="G69" i="1"/>
</calcChain>
</file>

<file path=xl/sharedStrings.xml><?xml version="1.0" encoding="utf-8"?>
<sst xmlns="http://schemas.openxmlformats.org/spreadsheetml/2006/main" count="475" uniqueCount="126">
  <si>
    <t>Sorghum</t>
  </si>
  <si>
    <t>Charles_Darwin_NP_NT</t>
  </si>
  <si>
    <t>CSD_NT</t>
  </si>
  <si>
    <t>exstans</t>
  </si>
  <si>
    <t>Daly_Waters_NT</t>
  </si>
  <si>
    <t>DYW_NT</t>
  </si>
  <si>
    <t>matarankense</t>
  </si>
  <si>
    <t>plumosum_Daly_Waters</t>
  </si>
  <si>
    <t>timorense</t>
  </si>
  <si>
    <t>Derby</t>
  </si>
  <si>
    <t>DBY_NSW</t>
  </si>
  <si>
    <t>ecarinatum</t>
  </si>
  <si>
    <t>Drake_NSW</t>
  </si>
  <si>
    <t>DKE_NSW</t>
  </si>
  <si>
    <t>leiocladum</t>
  </si>
  <si>
    <t>Katherine_NT</t>
  </si>
  <si>
    <t>KTE_NT</t>
  </si>
  <si>
    <t>grande</t>
  </si>
  <si>
    <t>intrans</t>
  </si>
  <si>
    <t>macrospermum</t>
  </si>
  <si>
    <t>Kununurra_WA</t>
  </si>
  <si>
    <t>KNA_WA</t>
  </si>
  <si>
    <t>bulbosum</t>
  </si>
  <si>
    <t>interjectum</t>
  </si>
  <si>
    <t>plumosumvarteretifolium</t>
  </si>
  <si>
    <t>Laura_QLD</t>
  </si>
  <si>
    <t>LRA_QLD</t>
  </si>
  <si>
    <t>angustum</t>
  </si>
  <si>
    <t>Mitchell_Ck_NT</t>
  </si>
  <si>
    <t>MCK_NT</t>
  </si>
  <si>
    <t>plumosum_Mitchell_Ck</t>
  </si>
  <si>
    <t>stipoideum</t>
  </si>
  <si>
    <t>Bruce_Weir_Rd_QLD</t>
  </si>
  <si>
    <t>BWR_QLD</t>
  </si>
  <si>
    <t>Themeda</t>
  </si>
  <si>
    <t>triandra</t>
  </si>
  <si>
    <t>Bumberry_NSW</t>
  </si>
  <si>
    <t>BUM_NSW</t>
  </si>
  <si>
    <t>Cobbler_ck_SA</t>
  </si>
  <si>
    <t>COBB_SA</t>
  </si>
  <si>
    <t>Condah-Hotspur_Rd_VIC</t>
  </si>
  <si>
    <t>CHS_VIC</t>
  </si>
  <si>
    <t>Dalby_QLD</t>
  </si>
  <si>
    <t>DAL_QLD</t>
  </si>
  <si>
    <t>Hornsby_Heights_NSW</t>
  </si>
  <si>
    <t>HH_NSW</t>
  </si>
  <si>
    <t>Jindabyne_NSW</t>
  </si>
  <si>
    <t>JIN_NSW</t>
  </si>
  <si>
    <t>Marlborough_QLD</t>
  </si>
  <si>
    <t>MAR_QLD</t>
  </si>
  <si>
    <t>Mid_Turnbull_Trail_NSW</t>
  </si>
  <si>
    <t>MTT_NSW</t>
  </si>
  <si>
    <t>Mt_Coolon_QLD</t>
  </si>
  <si>
    <t>MTC_QLD</t>
  </si>
  <si>
    <t>Mt_Fox_QLD</t>
  </si>
  <si>
    <t>MTF_QLD</t>
  </si>
  <si>
    <t>Palm_Valley_NT</t>
  </si>
  <si>
    <t>PV_NT</t>
  </si>
  <si>
    <t>Pannawonica_WA</t>
  </si>
  <si>
    <t>PAN_WA</t>
  </si>
  <si>
    <t>Powranna_TAS</t>
  </si>
  <si>
    <t>POW_TAS</t>
  </si>
  <si>
    <t>Rainbow_Valley_NT</t>
  </si>
  <si>
    <t>RV_NT</t>
  </si>
  <si>
    <t>The_Lynd_Junction_QLD</t>
  </si>
  <si>
    <t>TLJ_QLD</t>
  </si>
  <si>
    <t>Woodstock_Rd_QLD</t>
  </si>
  <si>
    <t>WR_QLD</t>
  </si>
  <si>
    <t>site</t>
  </si>
  <si>
    <t>host_in_pot_at_harvest</t>
  </si>
  <si>
    <t>harvested_by</t>
  </si>
  <si>
    <t>A</t>
  </si>
  <si>
    <t>F</t>
  </si>
  <si>
    <t>T</t>
  </si>
  <si>
    <t>harvested_date</t>
  </si>
  <si>
    <t>Location</t>
  </si>
  <si>
    <t>latitude</t>
  </si>
  <si>
    <t>longitude</t>
  </si>
  <si>
    <t>Rainbow Valley_NT</t>
  </si>
  <si>
    <t>Panawonica_WA</t>
  </si>
  <si>
    <t>Forbes_NSW</t>
  </si>
  <si>
    <t>Hobart_TAS</t>
  </si>
  <si>
    <t>Virginia Gardens_SA</t>
  </si>
  <si>
    <t>Mt Fox N Park_QLD</t>
  </si>
  <si>
    <t>Sydney_NSW</t>
  </si>
  <si>
    <t>state</t>
  </si>
  <si>
    <t>annual_rainfall_weather_station</t>
  </si>
  <si>
    <t>annual_rainfall_station_id</t>
  </si>
  <si>
    <t>annual_rainfall_distance_from_site_km</t>
  </si>
  <si>
    <t>annual_rainfall_mm</t>
  </si>
  <si>
    <t>mean_annual_temp_weather_station</t>
  </si>
  <si>
    <t>mean_annual_temp_station_id</t>
  </si>
  <si>
    <t>mean_annual_temp_distance_from_site_km</t>
  </si>
  <si>
    <t>mean_annual_temp_celsius</t>
  </si>
  <si>
    <t>Rainbow Valley</t>
  </si>
  <si>
    <t>NT</t>
  </si>
  <si>
    <t>Hugh River</t>
  </si>
  <si>
    <t xml:space="preserve">Alice Springs Airport </t>
  </si>
  <si>
    <t>Panawonica</t>
  </si>
  <si>
    <t>WA</t>
  </si>
  <si>
    <t>Forbes</t>
  </si>
  <si>
    <t>NSW</t>
  </si>
  <si>
    <t>Forbes (Bunderra)</t>
  </si>
  <si>
    <t>Forbes Airport AWS</t>
  </si>
  <si>
    <t>Hobart</t>
  </si>
  <si>
    <t>TAS</t>
  </si>
  <si>
    <t xml:space="preserve">Hobart (Ellerslie Road) </t>
  </si>
  <si>
    <t>Dalby</t>
  </si>
  <si>
    <t>QLD</t>
  </si>
  <si>
    <t>Hereward</t>
  </si>
  <si>
    <t>Dalby Airport</t>
  </si>
  <si>
    <t>Virginia Gardens</t>
  </si>
  <si>
    <t>SA</t>
  </si>
  <si>
    <t>Greenacres</t>
  </si>
  <si>
    <t>Parafield Airport</t>
  </si>
  <si>
    <t>Mt Fox National Park</t>
  </si>
  <si>
    <t>Christmas Creek Station</t>
  </si>
  <si>
    <t>Ingham Composite</t>
  </si>
  <si>
    <t>Sydney</t>
  </si>
  <si>
    <t>Hornsby Swimming Pool</t>
  </si>
  <si>
    <t>Parramatta North</t>
  </si>
  <si>
    <t>collection_site</t>
  </si>
  <si>
    <t>collection_site_code</t>
  </si>
  <si>
    <t>collection_site_host_genus</t>
  </si>
  <si>
    <t>collection_site_host_species</t>
  </si>
  <si>
    <t>spore_amplification_host_community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</si>
</sst>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Fill="1" applyBorder="1"/>
    <xf numFmtId="0" fontId="1" fillId="0" borderId="0" xfId="0" applyFont="1" applyFill="1" applyBorder="1"/>
    <xf numFmtId="0" fontId="0" fillId="0" borderId="0" xfId="0" applyBorder="1"/>
    <xf numFmtId="0" fontId="0" fillId="2" borderId="0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D0017B-DF99-4A4F-9A94-5A8FBA21E319}">
  <sheetPr>
    <pageSetUpPr fitToPage="1"/>
  </sheetPr>
  <dimension ref="A1:H71"/>
  <sheetViews>
    <sheetView tabSelected="1" topLeftCell="A22" workbookViewId="0">
      <selection activeCell="F29" sqref="F29"/>
    </sheetView>
  </sheetViews>
  <sheetFormatPr defaultColWidth="11" defaultRowHeight="15.75" x14ac:dyDescent="0.25"/>
  <cols>
    <col min="1" max="1" width="32.125" bestFit="1" customWidth="1"/>
    <col min="2" max="2" width="21.25" bestFit="1" customWidth="1"/>
    <col min="3" max="3" width="18" bestFit="1" customWidth="1"/>
    <col min="4" max="4" width="23.25" customWidth="1"/>
    <col min="5" max="5" width="24.75" bestFit="1" customWidth="1"/>
    <col min="6" max="6" width="19.875" bestFit="1" customWidth="1"/>
    <col min="7" max="7" width="11.625" bestFit="1" customWidth="1"/>
    <col min="8" max="8" width="13.5" bestFit="1" customWidth="1"/>
  </cols>
  <sheetData>
    <row r="1" spans="1:8" x14ac:dyDescent="0.25">
      <c r="A1" s="2" t="s">
        <v>125</v>
      </c>
      <c r="B1" s="2" t="s">
        <v>121</v>
      </c>
      <c r="C1" s="2" t="s">
        <v>122</v>
      </c>
      <c r="D1" s="2" t="s">
        <v>123</v>
      </c>
      <c r="E1" s="2" t="s">
        <v>124</v>
      </c>
      <c r="F1" s="2" t="s">
        <v>69</v>
      </c>
      <c r="G1" s="2" t="s">
        <v>70</v>
      </c>
      <c r="H1" s="2" t="s">
        <v>74</v>
      </c>
    </row>
    <row r="2" spans="1:8" x14ac:dyDescent="0.25">
      <c r="A2" s="1" t="s">
        <v>0</v>
      </c>
      <c r="B2" s="1" t="s">
        <v>1</v>
      </c>
      <c r="C2" s="1" t="s">
        <v>2</v>
      </c>
      <c r="D2" s="1" t="s">
        <v>0</v>
      </c>
      <c r="E2" s="1" t="s">
        <v>3</v>
      </c>
      <c r="F2" s="3"/>
      <c r="G2" s="3"/>
      <c r="H2" s="3"/>
    </row>
    <row r="3" spans="1:8" x14ac:dyDescent="0.25">
      <c r="A3" s="1" t="s">
        <v>0</v>
      </c>
      <c r="B3" s="1" t="s">
        <v>4</v>
      </c>
      <c r="C3" s="1" t="s">
        <v>5</v>
      </c>
      <c r="D3" s="1" t="s">
        <v>0</v>
      </c>
      <c r="E3" s="1" t="s">
        <v>6</v>
      </c>
      <c r="F3" s="1" t="s">
        <v>72</v>
      </c>
      <c r="G3" s="3" t="s">
        <v>71</v>
      </c>
      <c r="H3" s="3"/>
    </row>
    <row r="4" spans="1:8" x14ac:dyDescent="0.25">
      <c r="A4" s="1" t="s">
        <v>0</v>
      </c>
      <c r="B4" s="1" t="s">
        <v>4</v>
      </c>
      <c r="C4" s="1" t="s">
        <v>5</v>
      </c>
      <c r="D4" s="1" t="s">
        <v>0</v>
      </c>
      <c r="E4" s="1" t="s">
        <v>7</v>
      </c>
      <c r="F4" s="3"/>
      <c r="G4" s="3"/>
      <c r="H4" s="3"/>
    </row>
    <row r="5" spans="1:8" x14ac:dyDescent="0.25">
      <c r="A5" s="1" t="s">
        <v>0</v>
      </c>
      <c r="B5" s="1" t="s">
        <v>4</v>
      </c>
      <c r="C5" s="1" t="s">
        <v>5</v>
      </c>
      <c r="D5" s="1" t="s">
        <v>0</v>
      </c>
      <c r="E5" s="1" t="s">
        <v>8</v>
      </c>
      <c r="F5" s="1" t="s">
        <v>72</v>
      </c>
      <c r="G5" s="1" t="s">
        <v>71</v>
      </c>
      <c r="H5" s="3"/>
    </row>
    <row r="6" spans="1:8" x14ac:dyDescent="0.25">
      <c r="A6" s="1" t="s">
        <v>0</v>
      </c>
      <c r="B6" s="1" t="s">
        <v>9</v>
      </c>
      <c r="C6" s="1" t="s">
        <v>10</v>
      </c>
      <c r="D6" s="1" t="s">
        <v>0</v>
      </c>
      <c r="E6" s="1" t="s">
        <v>11</v>
      </c>
      <c r="F6" s="1" t="s">
        <v>72</v>
      </c>
      <c r="G6" s="1" t="s">
        <v>71</v>
      </c>
      <c r="H6" s="3"/>
    </row>
    <row r="7" spans="1:8" x14ac:dyDescent="0.25">
      <c r="A7" s="1" t="s">
        <v>0</v>
      </c>
      <c r="B7" s="1" t="s">
        <v>12</v>
      </c>
      <c r="C7" s="1" t="s">
        <v>13</v>
      </c>
      <c r="D7" s="1" t="s">
        <v>0</v>
      </c>
      <c r="E7" s="1" t="s">
        <v>14</v>
      </c>
      <c r="F7" s="1" t="s">
        <v>73</v>
      </c>
      <c r="G7" s="1" t="s">
        <v>71</v>
      </c>
      <c r="H7" s="3"/>
    </row>
    <row r="8" spans="1:8" x14ac:dyDescent="0.25">
      <c r="A8" s="1" t="s">
        <v>0</v>
      </c>
      <c r="B8" s="1" t="s">
        <v>15</v>
      </c>
      <c r="C8" s="1" t="s">
        <v>16</v>
      </c>
      <c r="D8" s="1" t="s">
        <v>0</v>
      </c>
      <c r="E8" s="1" t="s">
        <v>17</v>
      </c>
      <c r="F8" s="3"/>
      <c r="G8" s="3"/>
      <c r="H8" s="3"/>
    </row>
    <row r="9" spans="1:8" x14ac:dyDescent="0.25">
      <c r="A9" s="1" t="s">
        <v>0</v>
      </c>
      <c r="B9" s="1" t="s">
        <v>15</v>
      </c>
      <c r="C9" s="1" t="s">
        <v>16</v>
      </c>
      <c r="D9" s="1" t="s">
        <v>0</v>
      </c>
      <c r="E9" s="1" t="s">
        <v>18</v>
      </c>
      <c r="F9" s="3"/>
      <c r="G9" s="3"/>
      <c r="H9" s="3"/>
    </row>
    <row r="10" spans="1:8" x14ac:dyDescent="0.25">
      <c r="A10" s="1" t="s">
        <v>0</v>
      </c>
      <c r="B10" s="1" t="s">
        <v>15</v>
      </c>
      <c r="C10" s="1" t="s">
        <v>16</v>
      </c>
      <c r="D10" s="1" t="s">
        <v>0</v>
      </c>
      <c r="E10" s="1" t="s">
        <v>19</v>
      </c>
      <c r="F10" s="1" t="s">
        <v>72</v>
      </c>
      <c r="G10" s="1" t="s">
        <v>71</v>
      </c>
      <c r="H10" s="3"/>
    </row>
    <row r="11" spans="1:8" x14ac:dyDescent="0.25">
      <c r="A11" s="1" t="s">
        <v>0</v>
      </c>
      <c r="B11" s="1" t="s">
        <v>20</v>
      </c>
      <c r="C11" s="1" t="s">
        <v>21</v>
      </c>
      <c r="D11" s="1" t="s">
        <v>0</v>
      </c>
      <c r="E11" s="1" t="s">
        <v>22</v>
      </c>
      <c r="F11" s="1" t="s">
        <v>72</v>
      </c>
      <c r="G11" s="1" t="s">
        <v>71</v>
      </c>
      <c r="H11" s="3"/>
    </row>
    <row r="12" spans="1:8" x14ac:dyDescent="0.25">
      <c r="A12" s="1" t="s">
        <v>0</v>
      </c>
      <c r="B12" s="1" t="s">
        <v>20</v>
      </c>
      <c r="C12" s="1" t="s">
        <v>21</v>
      </c>
      <c r="D12" s="1" t="s">
        <v>0</v>
      </c>
      <c r="E12" s="1" t="s">
        <v>23</v>
      </c>
      <c r="F12" s="3"/>
      <c r="G12" s="3"/>
      <c r="H12" s="3"/>
    </row>
    <row r="13" spans="1:8" x14ac:dyDescent="0.25">
      <c r="A13" s="1" t="s">
        <v>0</v>
      </c>
      <c r="B13" s="1" t="s">
        <v>20</v>
      </c>
      <c r="C13" s="1" t="s">
        <v>21</v>
      </c>
      <c r="D13" s="1" t="s">
        <v>0</v>
      </c>
      <c r="E13" s="1" t="s">
        <v>24</v>
      </c>
      <c r="F13" s="1" t="s">
        <v>72</v>
      </c>
      <c r="G13" s="1" t="s">
        <v>71</v>
      </c>
      <c r="H13" s="3"/>
    </row>
    <row r="14" spans="1:8" x14ac:dyDescent="0.25">
      <c r="A14" s="1" t="s">
        <v>0</v>
      </c>
      <c r="B14" s="1" t="s">
        <v>25</v>
      </c>
      <c r="C14" s="1" t="s">
        <v>26</v>
      </c>
      <c r="D14" s="1" t="s">
        <v>0</v>
      </c>
      <c r="E14" s="1" t="s">
        <v>27</v>
      </c>
      <c r="F14" s="3"/>
      <c r="G14" s="3"/>
      <c r="H14" s="3"/>
    </row>
    <row r="15" spans="1:8" x14ac:dyDescent="0.25">
      <c r="A15" s="1" t="s">
        <v>0</v>
      </c>
      <c r="B15" s="1" t="s">
        <v>28</v>
      </c>
      <c r="C15" s="1" t="s">
        <v>29</v>
      </c>
      <c r="D15" s="1" t="s">
        <v>0</v>
      </c>
      <c r="E15" s="1" t="s">
        <v>30</v>
      </c>
      <c r="F15" s="1" t="s">
        <v>72</v>
      </c>
      <c r="G15" s="1" t="s">
        <v>71</v>
      </c>
      <c r="H15" s="3"/>
    </row>
    <row r="16" spans="1:8" x14ac:dyDescent="0.25">
      <c r="A16" s="1" t="s">
        <v>0</v>
      </c>
      <c r="B16" s="1" t="s">
        <v>28</v>
      </c>
      <c r="C16" s="1" t="s">
        <v>29</v>
      </c>
      <c r="D16" s="1" t="s">
        <v>0</v>
      </c>
      <c r="E16" s="1" t="s">
        <v>31</v>
      </c>
      <c r="F16" s="3"/>
      <c r="G16" s="3"/>
      <c r="H16" s="3"/>
    </row>
    <row r="17" spans="1:8" x14ac:dyDescent="0.25">
      <c r="A17" s="1" t="s">
        <v>0</v>
      </c>
      <c r="B17" s="1" t="s">
        <v>32</v>
      </c>
      <c r="C17" s="1" t="s">
        <v>33</v>
      </c>
      <c r="D17" s="1" t="s">
        <v>34</v>
      </c>
      <c r="E17" s="1" t="s">
        <v>35</v>
      </c>
      <c r="F17" s="1" t="s">
        <v>73</v>
      </c>
      <c r="G17" s="1" t="s">
        <v>71</v>
      </c>
      <c r="H17" s="3"/>
    </row>
    <row r="18" spans="1:8" x14ac:dyDescent="0.25">
      <c r="A18" s="1" t="s">
        <v>0</v>
      </c>
      <c r="B18" s="1" t="s">
        <v>36</v>
      </c>
      <c r="C18" s="1" t="s">
        <v>37</v>
      </c>
      <c r="D18" s="1" t="s">
        <v>34</v>
      </c>
      <c r="E18" s="1" t="s">
        <v>35</v>
      </c>
      <c r="F18" s="1" t="s">
        <v>73</v>
      </c>
      <c r="G18" s="1" t="s">
        <v>71</v>
      </c>
      <c r="H18" s="3"/>
    </row>
    <row r="19" spans="1:8" x14ac:dyDescent="0.25">
      <c r="A19" s="1" t="s">
        <v>0</v>
      </c>
      <c r="B19" s="1" t="s">
        <v>38</v>
      </c>
      <c r="C19" s="1" t="s">
        <v>39</v>
      </c>
      <c r="D19" s="1" t="s">
        <v>34</v>
      </c>
      <c r="E19" s="1" t="s">
        <v>35</v>
      </c>
      <c r="F19" s="1" t="s">
        <v>73</v>
      </c>
      <c r="G19" s="1" t="s">
        <v>71</v>
      </c>
      <c r="H19" s="3"/>
    </row>
    <row r="20" spans="1:8" x14ac:dyDescent="0.25">
      <c r="A20" s="1" t="s">
        <v>0</v>
      </c>
      <c r="B20" s="1" t="s">
        <v>40</v>
      </c>
      <c r="C20" s="1" t="s">
        <v>41</v>
      </c>
      <c r="D20" s="1" t="s">
        <v>34</v>
      </c>
      <c r="E20" s="1" t="s">
        <v>35</v>
      </c>
      <c r="F20" s="1" t="s">
        <v>73</v>
      </c>
      <c r="G20" s="1" t="s">
        <v>71</v>
      </c>
      <c r="H20" s="3"/>
    </row>
    <row r="21" spans="1:8" x14ac:dyDescent="0.25">
      <c r="A21" s="1" t="s">
        <v>0</v>
      </c>
      <c r="B21" s="1" t="s">
        <v>42</v>
      </c>
      <c r="C21" s="1" t="s">
        <v>43</v>
      </c>
      <c r="D21" s="1" t="s">
        <v>34</v>
      </c>
      <c r="E21" s="1" t="s">
        <v>35</v>
      </c>
      <c r="F21" s="1" t="s">
        <v>73</v>
      </c>
      <c r="G21" s="1" t="s">
        <v>71</v>
      </c>
      <c r="H21" s="3"/>
    </row>
    <row r="22" spans="1:8" x14ac:dyDescent="0.25">
      <c r="A22" s="1" t="s">
        <v>0</v>
      </c>
      <c r="B22" s="1" t="s">
        <v>44</v>
      </c>
      <c r="C22" s="1" t="s">
        <v>45</v>
      </c>
      <c r="D22" s="1" t="s">
        <v>34</v>
      </c>
      <c r="E22" s="1" t="s">
        <v>35</v>
      </c>
      <c r="F22" s="1" t="s">
        <v>73</v>
      </c>
      <c r="G22" s="1" t="s">
        <v>71</v>
      </c>
      <c r="H22" s="3"/>
    </row>
    <row r="23" spans="1:8" x14ac:dyDescent="0.25">
      <c r="A23" s="1" t="s">
        <v>0</v>
      </c>
      <c r="B23" s="1" t="s">
        <v>46</v>
      </c>
      <c r="C23" s="1" t="s">
        <v>47</v>
      </c>
      <c r="D23" s="1" t="s">
        <v>34</v>
      </c>
      <c r="E23" s="1" t="s">
        <v>35</v>
      </c>
      <c r="F23" s="1" t="s">
        <v>73</v>
      </c>
      <c r="G23" s="1" t="s">
        <v>71</v>
      </c>
      <c r="H23" s="3"/>
    </row>
    <row r="24" spans="1:8" x14ac:dyDescent="0.25">
      <c r="A24" s="1" t="s">
        <v>0</v>
      </c>
      <c r="B24" s="1" t="s">
        <v>48</v>
      </c>
      <c r="C24" s="1" t="s">
        <v>49</v>
      </c>
      <c r="D24" s="1" t="s">
        <v>34</v>
      </c>
      <c r="E24" s="1" t="s">
        <v>35</v>
      </c>
      <c r="F24" s="1" t="s">
        <v>73</v>
      </c>
      <c r="G24" s="1" t="s">
        <v>71</v>
      </c>
      <c r="H24" s="3"/>
    </row>
    <row r="25" spans="1:8" x14ac:dyDescent="0.25">
      <c r="A25" s="1" t="s">
        <v>0</v>
      </c>
      <c r="B25" s="1" t="s">
        <v>50</v>
      </c>
      <c r="C25" s="1" t="s">
        <v>51</v>
      </c>
      <c r="D25" s="1" t="s">
        <v>34</v>
      </c>
      <c r="E25" s="1" t="s">
        <v>35</v>
      </c>
      <c r="F25" s="1" t="s">
        <v>73</v>
      </c>
      <c r="G25" s="1" t="s">
        <v>71</v>
      </c>
      <c r="H25" s="3"/>
    </row>
    <row r="26" spans="1:8" x14ac:dyDescent="0.25">
      <c r="A26" s="1" t="s">
        <v>0</v>
      </c>
      <c r="B26" s="1" t="s">
        <v>28</v>
      </c>
      <c r="C26" s="1" t="s">
        <v>29</v>
      </c>
      <c r="D26" s="1" t="s">
        <v>34</v>
      </c>
      <c r="E26" s="1" t="s">
        <v>35</v>
      </c>
      <c r="F26" s="1" t="s">
        <v>73</v>
      </c>
      <c r="G26" s="1" t="s">
        <v>71</v>
      </c>
      <c r="H26" s="3"/>
    </row>
    <row r="27" spans="1:8" x14ac:dyDescent="0.25">
      <c r="A27" s="1" t="s">
        <v>0</v>
      </c>
      <c r="B27" s="1" t="s">
        <v>52</v>
      </c>
      <c r="C27" s="1" t="s">
        <v>53</v>
      </c>
      <c r="D27" s="1" t="s">
        <v>34</v>
      </c>
      <c r="E27" s="1" t="s">
        <v>35</v>
      </c>
      <c r="F27" s="1" t="s">
        <v>73</v>
      </c>
      <c r="G27" s="1" t="s">
        <v>71</v>
      </c>
      <c r="H27" s="3"/>
    </row>
    <row r="28" spans="1:8" x14ac:dyDescent="0.25">
      <c r="A28" s="1" t="s">
        <v>0</v>
      </c>
      <c r="B28" s="1" t="s">
        <v>54</v>
      </c>
      <c r="C28" s="1" t="s">
        <v>55</v>
      </c>
      <c r="D28" s="1" t="s">
        <v>34</v>
      </c>
      <c r="E28" s="1" t="s">
        <v>35</v>
      </c>
      <c r="F28" s="1" t="s">
        <v>73</v>
      </c>
      <c r="G28" s="1" t="s">
        <v>71</v>
      </c>
      <c r="H28" s="3"/>
    </row>
    <row r="29" spans="1:8" x14ac:dyDescent="0.25">
      <c r="A29" s="1" t="s">
        <v>0</v>
      </c>
      <c r="B29" s="1" t="s">
        <v>56</v>
      </c>
      <c r="C29" s="1" t="s">
        <v>57</v>
      </c>
      <c r="D29" s="1" t="s">
        <v>34</v>
      </c>
      <c r="E29" s="1" t="s">
        <v>35</v>
      </c>
      <c r="F29" s="1" t="s">
        <v>72</v>
      </c>
      <c r="G29" s="1" t="s">
        <v>71</v>
      </c>
      <c r="H29" s="3"/>
    </row>
    <row r="30" spans="1:8" x14ac:dyDescent="0.25">
      <c r="A30" s="1" t="s">
        <v>0</v>
      </c>
      <c r="B30" s="1" t="s">
        <v>58</v>
      </c>
      <c r="C30" s="1" t="s">
        <v>59</v>
      </c>
      <c r="D30" s="1" t="s">
        <v>34</v>
      </c>
      <c r="E30" s="1" t="s">
        <v>35</v>
      </c>
      <c r="F30" s="3"/>
      <c r="G30" s="3"/>
      <c r="H30" s="3"/>
    </row>
    <row r="31" spans="1:8" x14ac:dyDescent="0.25">
      <c r="A31" s="1" t="s">
        <v>0</v>
      </c>
      <c r="B31" s="1" t="s">
        <v>60</v>
      </c>
      <c r="C31" s="1" t="s">
        <v>61</v>
      </c>
      <c r="D31" s="1" t="s">
        <v>34</v>
      </c>
      <c r="E31" s="1" t="s">
        <v>35</v>
      </c>
      <c r="F31" s="1" t="s">
        <v>73</v>
      </c>
      <c r="G31" s="1" t="s">
        <v>71</v>
      </c>
      <c r="H31" s="3"/>
    </row>
    <row r="32" spans="1:8" s="5" customFormat="1" x14ac:dyDescent="0.25">
      <c r="A32" s="4" t="s">
        <v>0</v>
      </c>
      <c r="B32" s="4" t="s">
        <v>62</v>
      </c>
      <c r="C32" s="4" t="s">
        <v>63</v>
      </c>
      <c r="D32" s="4" t="s">
        <v>34</v>
      </c>
      <c r="E32" s="4" t="s">
        <v>35</v>
      </c>
      <c r="F32" s="4" t="s">
        <v>72</v>
      </c>
      <c r="G32" s="4" t="s">
        <v>71</v>
      </c>
      <c r="H32" s="4"/>
    </row>
    <row r="33" spans="1:8" x14ac:dyDescent="0.25">
      <c r="A33" s="1" t="s">
        <v>0</v>
      </c>
      <c r="B33" s="1" t="s">
        <v>64</v>
      </c>
      <c r="C33" s="1" t="s">
        <v>65</v>
      </c>
      <c r="D33" s="1" t="s">
        <v>34</v>
      </c>
      <c r="E33" s="1" t="s">
        <v>35</v>
      </c>
      <c r="F33" s="1" t="s">
        <v>72</v>
      </c>
      <c r="G33" s="1" t="s">
        <v>71</v>
      </c>
      <c r="H33" s="3"/>
    </row>
    <row r="34" spans="1:8" x14ac:dyDescent="0.25">
      <c r="A34" s="1" t="s">
        <v>0</v>
      </c>
      <c r="B34" s="1" t="s">
        <v>66</v>
      </c>
      <c r="C34" s="1" t="s">
        <v>67</v>
      </c>
      <c r="D34" s="1" t="s">
        <v>34</v>
      </c>
      <c r="E34" s="1" t="s">
        <v>35</v>
      </c>
      <c r="F34" s="3"/>
      <c r="G34" s="3"/>
      <c r="H34" s="3"/>
    </row>
    <row r="35" spans="1:8" x14ac:dyDescent="0.25">
      <c r="A35" s="1" t="s">
        <v>34</v>
      </c>
      <c r="B35" s="1" t="s">
        <v>1</v>
      </c>
      <c r="C35" s="1" t="s">
        <v>2</v>
      </c>
      <c r="D35" s="1" t="s">
        <v>0</v>
      </c>
      <c r="E35" s="1" t="s">
        <v>3</v>
      </c>
      <c r="F35" s="3"/>
      <c r="G35" s="3"/>
      <c r="H35" s="3"/>
    </row>
    <row r="36" spans="1:8" x14ac:dyDescent="0.25">
      <c r="A36" s="1" t="s">
        <v>34</v>
      </c>
      <c r="B36" s="1" t="s">
        <v>4</v>
      </c>
      <c r="C36" s="1" t="s">
        <v>5</v>
      </c>
      <c r="D36" s="1" t="s">
        <v>0</v>
      </c>
      <c r="E36" s="1" t="s">
        <v>6</v>
      </c>
      <c r="F36" s="3"/>
      <c r="G36" s="3"/>
      <c r="H36" s="3"/>
    </row>
    <row r="37" spans="1:8" x14ac:dyDescent="0.25">
      <c r="A37" s="1" t="s">
        <v>34</v>
      </c>
      <c r="B37" s="1" t="s">
        <v>4</v>
      </c>
      <c r="C37" s="1" t="s">
        <v>5</v>
      </c>
      <c r="D37" s="1" t="s">
        <v>0</v>
      </c>
      <c r="E37" s="1" t="s">
        <v>7</v>
      </c>
      <c r="F37" s="1" t="s">
        <v>73</v>
      </c>
      <c r="G37" s="1" t="s">
        <v>71</v>
      </c>
      <c r="H37" s="3"/>
    </row>
    <row r="38" spans="1:8" x14ac:dyDescent="0.25">
      <c r="A38" s="1" t="s">
        <v>34</v>
      </c>
      <c r="B38" s="1" t="s">
        <v>4</v>
      </c>
      <c r="C38" s="1" t="s">
        <v>5</v>
      </c>
      <c r="D38" s="1" t="s">
        <v>0</v>
      </c>
      <c r="E38" s="1" t="s">
        <v>8</v>
      </c>
      <c r="F38" s="1" t="s">
        <v>73</v>
      </c>
      <c r="G38" s="1" t="s">
        <v>71</v>
      </c>
      <c r="H38" s="3"/>
    </row>
    <row r="39" spans="1:8" x14ac:dyDescent="0.25">
      <c r="A39" s="1" t="s">
        <v>34</v>
      </c>
      <c r="B39" s="1" t="s">
        <v>9</v>
      </c>
      <c r="C39" s="1" t="s">
        <v>10</v>
      </c>
      <c r="D39" s="1" t="s">
        <v>0</v>
      </c>
      <c r="E39" s="1" t="s">
        <v>11</v>
      </c>
      <c r="F39" s="3"/>
      <c r="G39" s="3"/>
      <c r="H39" s="3"/>
    </row>
    <row r="40" spans="1:8" x14ac:dyDescent="0.25">
      <c r="A40" s="1" t="s">
        <v>34</v>
      </c>
      <c r="B40" s="1" t="s">
        <v>12</v>
      </c>
      <c r="C40" s="1" t="s">
        <v>13</v>
      </c>
      <c r="D40" s="1" t="s">
        <v>0</v>
      </c>
      <c r="E40" s="1" t="s">
        <v>14</v>
      </c>
      <c r="F40" s="3"/>
      <c r="G40" s="3"/>
      <c r="H40" s="3"/>
    </row>
    <row r="41" spans="1:8" x14ac:dyDescent="0.25">
      <c r="A41" s="1" t="s">
        <v>34</v>
      </c>
      <c r="B41" s="1" t="s">
        <v>15</v>
      </c>
      <c r="C41" s="1" t="s">
        <v>16</v>
      </c>
      <c r="D41" s="1" t="s">
        <v>0</v>
      </c>
      <c r="E41" s="1" t="s">
        <v>17</v>
      </c>
      <c r="F41" s="3"/>
      <c r="G41" s="3"/>
      <c r="H41" s="3"/>
    </row>
    <row r="42" spans="1:8" x14ac:dyDescent="0.25">
      <c r="A42" s="1" t="s">
        <v>34</v>
      </c>
      <c r="B42" s="1" t="s">
        <v>15</v>
      </c>
      <c r="C42" s="1" t="s">
        <v>16</v>
      </c>
      <c r="D42" s="1" t="s">
        <v>0</v>
      </c>
      <c r="E42" s="1" t="s">
        <v>18</v>
      </c>
      <c r="F42" s="3"/>
      <c r="G42" s="3"/>
      <c r="H42" s="3"/>
    </row>
    <row r="43" spans="1:8" x14ac:dyDescent="0.25">
      <c r="A43" s="1" t="s">
        <v>34</v>
      </c>
      <c r="B43" s="1" t="s">
        <v>15</v>
      </c>
      <c r="C43" s="1" t="s">
        <v>16</v>
      </c>
      <c r="D43" s="1" t="s">
        <v>0</v>
      </c>
      <c r="E43" s="1" t="s">
        <v>19</v>
      </c>
      <c r="F43" s="1" t="s">
        <v>73</v>
      </c>
      <c r="G43" s="1" t="s">
        <v>71</v>
      </c>
      <c r="H43" s="3"/>
    </row>
    <row r="44" spans="1:8" x14ac:dyDescent="0.25">
      <c r="A44" s="1" t="s">
        <v>34</v>
      </c>
      <c r="B44" s="1" t="s">
        <v>20</v>
      </c>
      <c r="C44" s="1" t="s">
        <v>21</v>
      </c>
      <c r="D44" s="1" t="s">
        <v>0</v>
      </c>
      <c r="E44" s="1" t="s">
        <v>22</v>
      </c>
      <c r="F44" s="1" t="s">
        <v>73</v>
      </c>
      <c r="G44" s="1" t="s">
        <v>71</v>
      </c>
      <c r="H44" s="3"/>
    </row>
    <row r="45" spans="1:8" x14ac:dyDescent="0.25">
      <c r="A45" s="1" t="s">
        <v>34</v>
      </c>
      <c r="B45" s="1" t="s">
        <v>20</v>
      </c>
      <c r="C45" s="1" t="s">
        <v>21</v>
      </c>
      <c r="D45" s="1" t="s">
        <v>0</v>
      </c>
      <c r="E45" s="1" t="s">
        <v>23</v>
      </c>
      <c r="F45" s="1" t="s">
        <v>73</v>
      </c>
      <c r="G45" s="1" t="s">
        <v>71</v>
      </c>
      <c r="H45" s="3"/>
    </row>
    <row r="46" spans="1:8" x14ac:dyDescent="0.25">
      <c r="A46" s="1" t="s">
        <v>34</v>
      </c>
      <c r="B46" s="1" t="s">
        <v>20</v>
      </c>
      <c r="C46" s="1" t="s">
        <v>21</v>
      </c>
      <c r="D46" s="1" t="s">
        <v>0</v>
      </c>
      <c r="E46" s="1" t="s">
        <v>24</v>
      </c>
      <c r="F46" s="3"/>
      <c r="G46" s="3"/>
      <c r="H46" s="3"/>
    </row>
    <row r="47" spans="1:8" x14ac:dyDescent="0.25">
      <c r="A47" s="1" t="s">
        <v>34</v>
      </c>
      <c r="B47" s="1" t="s">
        <v>25</v>
      </c>
      <c r="C47" s="1" t="s">
        <v>26</v>
      </c>
      <c r="D47" s="1" t="s">
        <v>0</v>
      </c>
      <c r="E47" s="1" t="s">
        <v>27</v>
      </c>
      <c r="F47" s="1" t="s">
        <v>73</v>
      </c>
      <c r="G47" s="1" t="s">
        <v>71</v>
      </c>
      <c r="H47" s="3"/>
    </row>
    <row r="48" spans="1:8" x14ac:dyDescent="0.25">
      <c r="A48" s="1" t="s">
        <v>34</v>
      </c>
      <c r="B48" s="1" t="s">
        <v>28</v>
      </c>
      <c r="C48" s="1" t="s">
        <v>29</v>
      </c>
      <c r="D48" s="1" t="s">
        <v>0</v>
      </c>
      <c r="E48" s="1" t="s">
        <v>30</v>
      </c>
      <c r="F48" s="1" t="s">
        <v>73</v>
      </c>
      <c r="G48" s="1" t="s">
        <v>71</v>
      </c>
      <c r="H48" s="3"/>
    </row>
    <row r="49" spans="1:8" x14ac:dyDescent="0.25">
      <c r="A49" s="1" t="s">
        <v>34</v>
      </c>
      <c r="B49" s="1" t="s">
        <v>28</v>
      </c>
      <c r="C49" s="1" t="s">
        <v>29</v>
      </c>
      <c r="D49" s="1" t="s">
        <v>0</v>
      </c>
      <c r="E49" s="1" t="s">
        <v>31</v>
      </c>
      <c r="F49" s="1" t="s">
        <v>73</v>
      </c>
      <c r="G49" s="1" t="s">
        <v>71</v>
      </c>
      <c r="H49" s="3"/>
    </row>
    <row r="50" spans="1:8" x14ac:dyDescent="0.25">
      <c r="A50" s="1" t="s">
        <v>34</v>
      </c>
      <c r="B50" s="1" t="s">
        <v>32</v>
      </c>
      <c r="C50" s="1" t="s">
        <v>33</v>
      </c>
      <c r="D50" s="1" t="s">
        <v>34</v>
      </c>
      <c r="E50" s="1" t="s">
        <v>35</v>
      </c>
      <c r="F50" s="3"/>
      <c r="G50" s="3"/>
      <c r="H50" s="3"/>
    </row>
    <row r="51" spans="1:8" x14ac:dyDescent="0.25">
      <c r="A51" s="1" t="s">
        <v>34</v>
      </c>
      <c r="B51" s="1" t="s">
        <v>36</v>
      </c>
      <c r="C51" s="1" t="s">
        <v>37</v>
      </c>
      <c r="D51" s="1" t="s">
        <v>34</v>
      </c>
      <c r="E51" s="1" t="s">
        <v>35</v>
      </c>
      <c r="F51" s="3"/>
      <c r="G51" s="3"/>
      <c r="H51" s="3"/>
    </row>
    <row r="52" spans="1:8" x14ac:dyDescent="0.25">
      <c r="A52" s="1" t="s">
        <v>34</v>
      </c>
      <c r="B52" s="1" t="s">
        <v>38</v>
      </c>
      <c r="C52" s="1" t="s">
        <v>39</v>
      </c>
      <c r="D52" s="1" t="s">
        <v>34</v>
      </c>
      <c r="E52" s="1" t="s">
        <v>35</v>
      </c>
      <c r="F52" s="3"/>
      <c r="G52" s="3"/>
      <c r="H52" s="3"/>
    </row>
    <row r="53" spans="1:8" x14ac:dyDescent="0.25">
      <c r="A53" s="1" t="s">
        <v>34</v>
      </c>
      <c r="B53" s="1" t="s">
        <v>40</v>
      </c>
      <c r="C53" s="1" t="s">
        <v>41</v>
      </c>
      <c r="D53" s="1" t="s">
        <v>34</v>
      </c>
      <c r="E53" s="1" t="s">
        <v>35</v>
      </c>
      <c r="F53" s="3"/>
      <c r="G53" s="3"/>
      <c r="H53" s="3"/>
    </row>
    <row r="54" spans="1:8" x14ac:dyDescent="0.25">
      <c r="A54" s="1" t="s">
        <v>34</v>
      </c>
      <c r="B54" s="1" t="s">
        <v>42</v>
      </c>
      <c r="C54" s="1" t="s">
        <v>43</v>
      </c>
      <c r="D54" s="1" t="s">
        <v>34</v>
      </c>
      <c r="E54" s="1" t="s">
        <v>35</v>
      </c>
      <c r="F54" s="1" t="s">
        <v>73</v>
      </c>
      <c r="G54" s="1" t="s">
        <v>71</v>
      </c>
      <c r="H54" s="3"/>
    </row>
    <row r="55" spans="1:8" x14ac:dyDescent="0.25">
      <c r="A55" s="1" t="s">
        <v>34</v>
      </c>
      <c r="B55" s="1" t="s">
        <v>44</v>
      </c>
      <c r="C55" s="1" t="s">
        <v>45</v>
      </c>
      <c r="D55" s="1" t="s">
        <v>34</v>
      </c>
      <c r="E55" s="1" t="s">
        <v>35</v>
      </c>
      <c r="F55" s="1" t="s">
        <v>73</v>
      </c>
      <c r="G55" s="1" t="s">
        <v>71</v>
      </c>
      <c r="H55" s="3"/>
    </row>
    <row r="56" spans="1:8" x14ac:dyDescent="0.25">
      <c r="A56" s="1" t="s">
        <v>34</v>
      </c>
      <c r="B56" s="1" t="s">
        <v>46</v>
      </c>
      <c r="C56" s="1" t="s">
        <v>47</v>
      </c>
      <c r="D56" s="1" t="s">
        <v>34</v>
      </c>
      <c r="E56" s="1" t="s">
        <v>35</v>
      </c>
      <c r="F56" s="1" t="s">
        <v>72</v>
      </c>
      <c r="G56" s="1" t="s">
        <v>71</v>
      </c>
      <c r="H56" s="3"/>
    </row>
    <row r="57" spans="1:8" x14ac:dyDescent="0.25">
      <c r="A57" s="1" t="s">
        <v>34</v>
      </c>
      <c r="B57" s="1" t="s">
        <v>48</v>
      </c>
      <c r="C57" s="1" t="s">
        <v>49</v>
      </c>
      <c r="D57" s="1" t="s">
        <v>34</v>
      </c>
      <c r="E57" s="1" t="s">
        <v>35</v>
      </c>
      <c r="F57" s="3"/>
      <c r="G57" s="3"/>
      <c r="H57" s="3"/>
    </row>
    <row r="58" spans="1:8" x14ac:dyDescent="0.25">
      <c r="A58" s="1" t="s">
        <v>34</v>
      </c>
      <c r="B58" s="1" t="s">
        <v>50</v>
      </c>
      <c r="C58" s="1" t="s">
        <v>51</v>
      </c>
      <c r="D58" s="1" t="s">
        <v>34</v>
      </c>
      <c r="E58" s="1" t="s">
        <v>35</v>
      </c>
      <c r="F58" s="1" t="s">
        <v>73</v>
      </c>
      <c r="G58" s="1" t="s">
        <v>71</v>
      </c>
      <c r="H58" s="3"/>
    </row>
    <row r="59" spans="1:8" x14ac:dyDescent="0.25">
      <c r="A59" s="1" t="s">
        <v>34</v>
      </c>
      <c r="B59" s="1" t="s">
        <v>28</v>
      </c>
      <c r="C59" s="1" t="s">
        <v>29</v>
      </c>
      <c r="D59" s="1" t="s">
        <v>34</v>
      </c>
      <c r="E59" s="1" t="s">
        <v>35</v>
      </c>
      <c r="F59" s="1" t="s">
        <v>73</v>
      </c>
      <c r="G59" s="1" t="s">
        <v>71</v>
      </c>
      <c r="H59" s="3"/>
    </row>
    <row r="60" spans="1:8" x14ac:dyDescent="0.25">
      <c r="A60" s="1" t="s">
        <v>34</v>
      </c>
      <c r="B60" s="1" t="s">
        <v>52</v>
      </c>
      <c r="C60" s="1" t="s">
        <v>53</v>
      </c>
      <c r="D60" s="1" t="s">
        <v>34</v>
      </c>
      <c r="E60" s="1" t="s">
        <v>35</v>
      </c>
      <c r="F60" s="3"/>
      <c r="G60" s="3"/>
      <c r="H60" s="3"/>
    </row>
    <row r="61" spans="1:8" x14ac:dyDescent="0.25">
      <c r="A61" s="1" t="s">
        <v>34</v>
      </c>
      <c r="B61" s="1" t="s">
        <v>54</v>
      </c>
      <c r="C61" s="1" t="s">
        <v>55</v>
      </c>
      <c r="D61" s="1" t="s">
        <v>34</v>
      </c>
      <c r="E61" s="1" t="s">
        <v>35</v>
      </c>
      <c r="F61" s="1" t="s">
        <v>73</v>
      </c>
      <c r="G61" s="1" t="s">
        <v>71</v>
      </c>
      <c r="H61" s="3"/>
    </row>
    <row r="62" spans="1:8" x14ac:dyDescent="0.25">
      <c r="A62" s="1" t="s">
        <v>34</v>
      </c>
      <c r="B62" s="1" t="s">
        <v>56</v>
      </c>
      <c r="C62" s="1" t="s">
        <v>57</v>
      </c>
      <c r="D62" s="1" t="s">
        <v>34</v>
      </c>
      <c r="E62" s="1" t="s">
        <v>35</v>
      </c>
      <c r="F62" s="3"/>
      <c r="G62" s="3"/>
      <c r="H62" s="3"/>
    </row>
    <row r="63" spans="1:8" x14ac:dyDescent="0.25">
      <c r="A63" s="1" t="s">
        <v>34</v>
      </c>
      <c r="B63" s="1" t="s">
        <v>58</v>
      </c>
      <c r="C63" s="1" t="s">
        <v>59</v>
      </c>
      <c r="D63" s="1" t="s">
        <v>34</v>
      </c>
      <c r="E63" s="1" t="s">
        <v>35</v>
      </c>
      <c r="F63" s="3"/>
      <c r="G63" s="3"/>
      <c r="H63" s="3"/>
    </row>
    <row r="64" spans="1:8" x14ac:dyDescent="0.25">
      <c r="A64" s="1" t="s">
        <v>34</v>
      </c>
      <c r="B64" s="1" t="s">
        <v>60</v>
      </c>
      <c r="C64" s="1" t="s">
        <v>61</v>
      </c>
      <c r="D64" s="1" t="s">
        <v>34</v>
      </c>
      <c r="E64" s="1" t="s">
        <v>35</v>
      </c>
      <c r="F64" s="1" t="s">
        <v>73</v>
      </c>
      <c r="G64" s="1" t="s">
        <v>71</v>
      </c>
      <c r="H64" s="3"/>
    </row>
    <row r="65" spans="1:8" x14ac:dyDescent="0.25">
      <c r="A65" s="1" t="s">
        <v>34</v>
      </c>
      <c r="B65" s="1" t="s">
        <v>62</v>
      </c>
      <c r="C65" s="1" t="s">
        <v>63</v>
      </c>
      <c r="D65" s="1" t="s">
        <v>34</v>
      </c>
      <c r="E65" s="1" t="s">
        <v>35</v>
      </c>
      <c r="F65" s="3"/>
      <c r="G65" s="3"/>
      <c r="H65" s="3"/>
    </row>
    <row r="66" spans="1:8" x14ac:dyDescent="0.25">
      <c r="A66" s="1" t="s">
        <v>34</v>
      </c>
      <c r="B66" s="1" t="s">
        <v>64</v>
      </c>
      <c r="C66" s="1" t="s">
        <v>65</v>
      </c>
      <c r="D66" s="1" t="s">
        <v>34</v>
      </c>
      <c r="E66" s="1" t="s">
        <v>35</v>
      </c>
      <c r="F66" s="1" t="s">
        <v>72</v>
      </c>
      <c r="G66" s="1" t="s">
        <v>71</v>
      </c>
      <c r="H66" s="3"/>
    </row>
    <row r="67" spans="1:8" x14ac:dyDescent="0.25">
      <c r="A67" s="1" t="s">
        <v>34</v>
      </c>
      <c r="B67" s="1" t="s">
        <v>66</v>
      </c>
      <c r="C67" s="1" t="s">
        <v>67</v>
      </c>
      <c r="D67" s="1" t="s">
        <v>34</v>
      </c>
      <c r="E67" s="1" t="s">
        <v>35</v>
      </c>
      <c r="F67" s="1" t="s">
        <v>72</v>
      </c>
      <c r="G67" s="1" t="s">
        <v>71</v>
      </c>
      <c r="H67" s="3"/>
    </row>
    <row r="69" spans="1:8" x14ac:dyDescent="0.25">
      <c r="F69">
        <f>COUNTA(F$2:F$67)</f>
        <v>41</v>
      </c>
      <c r="G69">
        <f>COUNTA(G$2:G$67)</f>
        <v>41</v>
      </c>
    </row>
    <row r="71" spans="1:8" x14ac:dyDescent="0.25">
      <c r="F71">
        <f>COUNTIF(F$2:F$67, "F")</f>
        <v>13</v>
      </c>
    </row>
  </sheetData>
  <pageMargins left="0.7" right="0.7" top="0.75" bottom="0.75" header="0.3" footer="0.3"/>
  <pageSetup paperSize="9" scale="98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700988-4E61-4EAD-8EA8-62A6298AA632}">
  <dimension ref="A1:H34"/>
  <sheetViews>
    <sheetView workbookViewId="0">
      <selection activeCell="B24" sqref="B24"/>
    </sheetView>
  </sheetViews>
  <sheetFormatPr defaultRowHeight="15.75" x14ac:dyDescent="0.25"/>
  <cols>
    <col min="1" max="1" width="22.25" bestFit="1" customWidth="1"/>
    <col min="2" max="2" width="21.25" bestFit="1" customWidth="1"/>
    <col min="3" max="3" width="9.5" bestFit="1" customWidth="1"/>
    <col min="4" max="4" width="27.5" bestFit="1" customWidth="1"/>
    <col min="5" max="5" width="29" bestFit="1" customWidth="1"/>
    <col min="6" max="6" width="19.875" bestFit="1" customWidth="1"/>
    <col min="7" max="7" width="11.625" bestFit="1" customWidth="1"/>
    <col min="8" max="8" width="13.5" bestFit="1" customWidth="1"/>
  </cols>
  <sheetData>
    <row r="1" spans="1:8" x14ac:dyDescent="0.25">
      <c r="A1" s="1"/>
      <c r="B1" s="2"/>
      <c r="C1" s="2"/>
      <c r="D1" s="2"/>
      <c r="E1" s="2"/>
      <c r="F1" s="2"/>
      <c r="G1" s="2"/>
      <c r="H1" s="2"/>
    </row>
    <row r="2" spans="1:8" x14ac:dyDescent="0.25">
      <c r="A2" s="1"/>
      <c r="B2" s="1"/>
      <c r="C2" s="1"/>
      <c r="D2" s="1"/>
      <c r="E2" s="1"/>
      <c r="F2" s="3"/>
      <c r="G2" s="3"/>
    </row>
    <row r="3" spans="1:8" x14ac:dyDescent="0.25">
      <c r="A3" s="1"/>
      <c r="B3" s="1"/>
      <c r="C3" s="1"/>
      <c r="D3" s="1"/>
      <c r="E3" s="1"/>
      <c r="F3" s="3"/>
      <c r="G3" s="3"/>
    </row>
    <row r="4" spans="1:8" x14ac:dyDescent="0.25">
      <c r="A4" s="1"/>
      <c r="B4" s="1"/>
      <c r="C4" s="1"/>
      <c r="D4" s="1"/>
      <c r="E4" s="1"/>
      <c r="F4" s="1"/>
      <c r="G4" s="1"/>
    </row>
    <row r="5" spans="1:8" x14ac:dyDescent="0.25">
      <c r="A5" s="1"/>
      <c r="B5" s="1"/>
      <c r="C5" s="1"/>
      <c r="D5" s="1"/>
      <c r="E5" s="1"/>
      <c r="F5" s="1"/>
      <c r="G5" s="1"/>
    </row>
    <row r="6" spans="1:8" x14ac:dyDescent="0.25">
      <c r="A6" s="1"/>
      <c r="B6" s="1"/>
      <c r="C6" s="1"/>
      <c r="D6" s="1"/>
      <c r="E6" s="1"/>
      <c r="F6" s="3"/>
      <c r="G6" s="3"/>
    </row>
    <row r="7" spans="1:8" x14ac:dyDescent="0.25">
      <c r="A7" s="1"/>
      <c r="B7" s="1"/>
      <c r="C7" s="1"/>
      <c r="D7" s="1"/>
      <c r="E7" s="1"/>
      <c r="F7" s="3"/>
      <c r="G7" s="3"/>
    </row>
    <row r="8" spans="1:8" x14ac:dyDescent="0.25">
      <c r="A8" s="1"/>
      <c r="B8" s="1"/>
      <c r="C8" s="1"/>
      <c r="D8" s="1"/>
      <c r="E8" s="1"/>
      <c r="F8" s="3"/>
      <c r="G8" s="3"/>
    </row>
    <row r="9" spans="1:8" x14ac:dyDescent="0.25">
      <c r="A9" s="1"/>
      <c r="B9" s="1"/>
      <c r="C9" s="1"/>
      <c r="D9" s="1"/>
      <c r="E9" s="1"/>
      <c r="F9" s="3"/>
      <c r="G9" s="3"/>
    </row>
    <row r="10" spans="1:8" x14ac:dyDescent="0.25">
      <c r="A10" s="1"/>
      <c r="B10" s="1"/>
      <c r="C10" s="1"/>
      <c r="D10" s="1"/>
      <c r="E10" s="1"/>
      <c r="F10" s="1"/>
      <c r="G10" s="1"/>
    </row>
    <row r="11" spans="1:8" x14ac:dyDescent="0.25">
      <c r="A11" s="1"/>
      <c r="B11" s="1"/>
      <c r="C11" s="1"/>
      <c r="D11" s="1"/>
      <c r="E11" s="1"/>
      <c r="F11" s="1"/>
      <c r="G11" s="1"/>
    </row>
    <row r="12" spans="1:8" x14ac:dyDescent="0.25">
      <c r="A12" s="1"/>
      <c r="B12" s="1"/>
      <c r="C12" s="1"/>
      <c r="D12" s="1"/>
      <c r="E12" s="1"/>
      <c r="F12" s="1"/>
      <c r="G12" s="1"/>
    </row>
    <row r="13" spans="1:8" x14ac:dyDescent="0.25">
      <c r="A13" s="1"/>
      <c r="B13" s="1"/>
      <c r="C13" s="1"/>
      <c r="D13" s="1"/>
      <c r="E13" s="1"/>
      <c r="F13" s="3"/>
      <c r="G13" s="3"/>
    </row>
    <row r="14" spans="1:8" x14ac:dyDescent="0.25">
      <c r="A14" s="1"/>
      <c r="B14" s="1"/>
      <c r="C14" s="1"/>
      <c r="D14" s="1"/>
      <c r="E14" s="1"/>
      <c r="F14" s="1"/>
      <c r="G14" s="1"/>
    </row>
    <row r="15" spans="1:8" x14ac:dyDescent="0.25">
      <c r="A15" s="1"/>
      <c r="B15" s="1"/>
      <c r="C15" s="1"/>
      <c r="D15" s="1"/>
      <c r="E15" s="1"/>
      <c r="F15" s="1"/>
      <c r="G15" s="1"/>
    </row>
    <row r="16" spans="1:8" x14ac:dyDescent="0.25">
      <c r="A16" s="1"/>
      <c r="B16" s="1"/>
      <c r="C16" s="1"/>
      <c r="D16" s="1"/>
      <c r="E16" s="1"/>
      <c r="F16" s="1"/>
      <c r="G16" s="1"/>
    </row>
    <row r="17" spans="1:7" x14ac:dyDescent="0.25">
      <c r="A17" s="1"/>
      <c r="B17" s="1"/>
      <c r="C17" s="1"/>
      <c r="D17" s="1"/>
      <c r="E17" s="1"/>
      <c r="F17" s="3"/>
      <c r="G17" s="3"/>
    </row>
    <row r="18" spans="1:7" x14ac:dyDescent="0.25">
      <c r="A18" s="1"/>
      <c r="B18" s="1"/>
      <c r="C18" s="1"/>
      <c r="D18" s="1"/>
      <c r="E18" s="1"/>
      <c r="F18" s="3"/>
      <c r="G18" s="3"/>
    </row>
    <row r="19" spans="1:7" x14ac:dyDescent="0.25">
      <c r="A19" s="1"/>
      <c r="B19" s="1"/>
      <c r="C19" s="1"/>
      <c r="D19" s="1"/>
      <c r="E19" s="1"/>
      <c r="F19" s="3"/>
      <c r="G19" s="3"/>
    </row>
    <row r="20" spans="1:7" x14ac:dyDescent="0.25">
      <c r="A20" s="1"/>
      <c r="B20" s="1"/>
      <c r="C20" s="1"/>
      <c r="D20" s="1"/>
      <c r="E20" s="1"/>
      <c r="F20" s="3"/>
      <c r="G20" s="3"/>
    </row>
    <row r="21" spans="1:7" x14ac:dyDescent="0.25">
      <c r="A21" s="1"/>
      <c r="B21" s="1"/>
      <c r="C21" s="1"/>
      <c r="D21" s="1"/>
      <c r="E21" s="1"/>
      <c r="F21" s="1"/>
      <c r="G21" s="1"/>
    </row>
    <row r="22" spans="1:7" x14ac:dyDescent="0.25">
      <c r="A22" s="1"/>
      <c r="B22" s="1"/>
      <c r="C22" s="1"/>
      <c r="D22" s="1"/>
      <c r="E22" s="1"/>
      <c r="F22" s="1"/>
      <c r="G22" s="1"/>
    </row>
    <row r="23" spans="1:7" x14ac:dyDescent="0.25">
      <c r="A23" s="1"/>
      <c r="B23" s="1"/>
      <c r="C23" s="1"/>
      <c r="D23" s="1"/>
      <c r="E23" s="1"/>
      <c r="F23" s="1"/>
      <c r="G23" s="1"/>
    </row>
    <row r="24" spans="1:7" x14ac:dyDescent="0.25">
      <c r="A24" s="1"/>
      <c r="B24" s="1"/>
      <c r="C24" s="1"/>
      <c r="D24" s="1"/>
      <c r="E24" s="1"/>
      <c r="F24" s="3"/>
      <c r="G24" s="3"/>
    </row>
    <row r="25" spans="1:7" x14ac:dyDescent="0.25">
      <c r="A25" s="1"/>
      <c r="B25" s="1"/>
      <c r="C25" s="1"/>
      <c r="D25" s="1"/>
      <c r="E25" s="1"/>
      <c r="F25" s="1"/>
      <c r="G25" s="1"/>
    </row>
    <row r="26" spans="1:7" x14ac:dyDescent="0.25">
      <c r="A26" s="1"/>
      <c r="B26" s="1"/>
      <c r="C26" s="1"/>
      <c r="D26" s="1"/>
      <c r="E26" s="1"/>
      <c r="F26" s="1"/>
      <c r="G26" s="1"/>
    </row>
    <row r="27" spans="1:7" x14ac:dyDescent="0.25">
      <c r="A27" s="1"/>
      <c r="B27" s="1"/>
      <c r="C27" s="1"/>
      <c r="D27" s="1"/>
      <c r="E27" s="1"/>
      <c r="F27" s="3"/>
      <c r="G27" s="3"/>
    </row>
    <row r="28" spans="1:7" x14ac:dyDescent="0.25">
      <c r="A28" s="1"/>
      <c r="B28" s="1"/>
      <c r="C28" s="1"/>
      <c r="D28" s="1"/>
      <c r="E28" s="1"/>
      <c r="F28" s="1"/>
      <c r="G28" s="1"/>
    </row>
    <row r="29" spans="1:7" x14ac:dyDescent="0.25">
      <c r="A29" s="1"/>
      <c r="B29" s="1"/>
      <c r="C29" s="1"/>
      <c r="D29" s="1"/>
      <c r="E29" s="1"/>
      <c r="F29" s="3"/>
      <c r="G29" s="3"/>
    </row>
    <row r="30" spans="1:7" x14ac:dyDescent="0.25">
      <c r="A30" s="1"/>
      <c r="B30" s="1"/>
      <c r="C30" s="1"/>
      <c r="D30" s="1"/>
      <c r="E30" s="1"/>
      <c r="F30" s="3"/>
      <c r="G30" s="3"/>
    </row>
    <row r="31" spans="1:7" x14ac:dyDescent="0.25">
      <c r="A31" s="1"/>
      <c r="B31" s="1"/>
      <c r="C31" s="1"/>
      <c r="D31" s="1"/>
      <c r="E31" s="1"/>
      <c r="F31" s="1"/>
      <c r="G31" s="1"/>
    </row>
    <row r="32" spans="1:7" x14ac:dyDescent="0.25">
      <c r="A32" s="1"/>
      <c r="B32" s="1"/>
      <c r="C32" s="1"/>
      <c r="D32" s="1"/>
      <c r="E32" s="1"/>
      <c r="F32" s="3"/>
      <c r="G32" s="3"/>
    </row>
    <row r="33" spans="1:7" x14ac:dyDescent="0.25">
      <c r="A33" s="1"/>
      <c r="B33" s="1"/>
      <c r="C33" s="1"/>
      <c r="D33" s="1"/>
      <c r="E33" s="1"/>
      <c r="F33" s="1"/>
      <c r="G33" s="1"/>
    </row>
    <row r="34" spans="1:7" x14ac:dyDescent="0.25">
      <c r="A34" s="1"/>
      <c r="B34" s="1"/>
      <c r="C34" s="1"/>
      <c r="D34" s="1"/>
      <c r="E34" s="1"/>
      <c r="F34" s="1"/>
      <c r="G34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F909AF-F03E-4071-8EA5-2AA61FE915CD}">
  <dimension ref="A1:C9"/>
  <sheetViews>
    <sheetView workbookViewId="0">
      <selection activeCell="J18" sqref="J18"/>
    </sheetView>
  </sheetViews>
  <sheetFormatPr defaultRowHeight="15.75" x14ac:dyDescent="0.25"/>
  <cols>
    <col min="1" max="1" width="17.375" bestFit="1" customWidth="1"/>
    <col min="2" max="2" width="12.5" bestFit="1" customWidth="1"/>
    <col min="3" max="3" width="11.875" bestFit="1" customWidth="1"/>
  </cols>
  <sheetData>
    <row r="1" spans="1:3" x14ac:dyDescent="0.25">
      <c r="A1" t="s">
        <v>75</v>
      </c>
      <c r="B1" t="s">
        <v>76</v>
      </c>
      <c r="C1" t="s">
        <v>77</v>
      </c>
    </row>
    <row r="2" spans="1:3" x14ac:dyDescent="0.25">
      <c r="A2" t="s">
        <v>78</v>
      </c>
      <c r="B2">
        <v>-24.237644169999999</v>
      </c>
      <c r="C2">
        <v>133.5536117</v>
      </c>
    </row>
    <row r="3" spans="1:3" x14ac:dyDescent="0.25">
      <c r="A3" t="s">
        <v>79</v>
      </c>
      <c r="B3">
        <v>-21.6449</v>
      </c>
      <c r="C3">
        <v>116.3233</v>
      </c>
    </row>
    <row r="4" spans="1:3" x14ac:dyDescent="0.25">
      <c r="A4" t="s">
        <v>80</v>
      </c>
      <c r="B4">
        <v>-33.407612389999997</v>
      </c>
      <c r="C4">
        <v>147.96549429999999</v>
      </c>
    </row>
    <row r="5" spans="1:3" x14ac:dyDescent="0.25">
      <c r="A5" t="s">
        <v>81</v>
      </c>
      <c r="B5">
        <v>-42.905669699999997</v>
      </c>
      <c r="C5">
        <v>147.32301570000001</v>
      </c>
    </row>
    <row r="6" spans="1:3" x14ac:dyDescent="0.25">
      <c r="A6" t="s">
        <v>42</v>
      </c>
      <c r="B6">
        <v>-27.11486799</v>
      </c>
      <c r="C6">
        <v>151.18176149999999</v>
      </c>
    </row>
    <row r="7" spans="1:3" x14ac:dyDescent="0.25">
      <c r="A7" t="s">
        <v>82</v>
      </c>
      <c r="B7">
        <v>-34.85388889</v>
      </c>
      <c r="C7">
        <v>138.62055559999999</v>
      </c>
    </row>
    <row r="8" spans="1:3" x14ac:dyDescent="0.25">
      <c r="A8" t="s">
        <v>83</v>
      </c>
      <c r="B8">
        <v>-19.001300000000001</v>
      </c>
      <c r="C8">
        <v>145.47311669999999</v>
      </c>
    </row>
    <row r="9" spans="1:3" x14ac:dyDescent="0.25">
      <c r="A9" t="s">
        <v>84</v>
      </c>
      <c r="B9">
        <v>-33.68810173</v>
      </c>
      <c r="C9">
        <v>151.0624105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E7617E-8A74-4670-ADFB-95AC429B4BA8}">
  <dimension ref="A1:L9"/>
  <sheetViews>
    <sheetView workbookViewId="0">
      <selection activeCell="C14" sqref="C14"/>
    </sheetView>
  </sheetViews>
  <sheetFormatPr defaultRowHeight="15.75" x14ac:dyDescent="0.25"/>
  <cols>
    <col min="1" max="1" width="17.625" bestFit="1" customWidth="1"/>
    <col min="2" max="2" width="5" bestFit="1" customWidth="1"/>
    <col min="3" max="3" width="12.5" bestFit="1" customWidth="1"/>
    <col min="4" max="4" width="11.875" bestFit="1" customWidth="1"/>
    <col min="5" max="5" width="27.375" bestFit="1" customWidth="1"/>
    <col min="6" max="6" width="22.125" bestFit="1" customWidth="1"/>
    <col min="7" max="7" width="33.25" bestFit="1" customWidth="1"/>
    <col min="8" max="8" width="17.25" bestFit="1" customWidth="1"/>
    <col min="9" max="9" width="31.625" bestFit="1" customWidth="1"/>
    <col min="10" max="10" width="26.375" bestFit="1" customWidth="1"/>
    <col min="11" max="11" width="37.5" bestFit="1" customWidth="1"/>
    <col min="12" max="12" width="24" bestFit="1" customWidth="1"/>
  </cols>
  <sheetData>
    <row r="1" spans="1:12" x14ac:dyDescent="0.25">
      <c r="A1" t="s">
        <v>68</v>
      </c>
      <c r="B1" t="s">
        <v>85</v>
      </c>
      <c r="C1" t="s">
        <v>76</v>
      </c>
      <c r="D1" t="s">
        <v>77</v>
      </c>
      <c r="E1" t="s">
        <v>86</v>
      </c>
      <c r="F1" t="s">
        <v>87</v>
      </c>
      <c r="G1" t="s">
        <v>88</v>
      </c>
      <c r="H1" t="s">
        <v>89</v>
      </c>
      <c r="I1" t="s">
        <v>90</v>
      </c>
      <c r="J1" t="s">
        <v>91</v>
      </c>
      <c r="K1" t="s">
        <v>92</v>
      </c>
      <c r="L1" t="s">
        <v>93</v>
      </c>
    </row>
    <row r="2" spans="1:12" x14ac:dyDescent="0.25">
      <c r="A2" t="s">
        <v>94</v>
      </c>
      <c r="B2" t="s">
        <v>95</v>
      </c>
      <c r="C2">
        <v>-24.237644169999999</v>
      </c>
      <c r="D2">
        <v>133.5536117</v>
      </c>
      <c r="E2" t="s">
        <v>96</v>
      </c>
      <c r="F2">
        <v>15676</v>
      </c>
      <c r="G2">
        <v>14.31</v>
      </c>
      <c r="H2">
        <v>189.3</v>
      </c>
      <c r="I2" t="s">
        <v>97</v>
      </c>
      <c r="J2">
        <v>15590</v>
      </c>
      <c r="K2">
        <v>59.52</v>
      </c>
      <c r="L2">
        <v>28.9</v>
      </c>
    </row>
    <row r="3" spans="1:12" x14ac:dyDescent="0.25">
      <c r="A3" t="s">
        <v>98</v>
      </c>
      <c r="B3" t="s">
        <v>99</v>
      </c>
      <c r="C3">
        <v>-21.6449</v>
      </c>
      <c r="D3">
        <v>116.3233</v>
      </c>
      <c r="E3" t="s">
        <v>98</v>
      </c>
      <c r="F3">
        <v>5069</v>
      </c>
      <c r="G3">
        <v>1</v>
      </c>
      <c r="H3">
        <v>404.4</v>
      </c>
      <c r="I3" t="s">
        <v>98</v>
      </c>
      <c r="J3">
        <v>5069</v>
      </c>
      <c r="K3">
        <v>1</v>
      </c>
      <c r="L3">
        <v>34.700000000000003</v>
      </c>
    </row>
    <row r="4" spans="1:12" x14ac:dyDescent="0.25">
      <c r="A4" t="s">
        <v>100</v>
      </c>
      <c r="B4" t="s">
        <v>101</v>
      </c>
      <c r="C4">
        <v>-33.407612389999997</v>
      </c>
      <c r="D4">
        <v>147.96549429999999</v>
      </c>
      <c r="E4" t="s">
        <v>102</v>
      </c>
      <c r="F4">
        <v>65113</v>
      </c>
      <c r="G4">
        <v>1.64</v>
      </c>
      <c r="H4">
        <v>520.4</v>
      </c>
      <c r="I4" t="s">
        <v>103</v>
      </c>
      <c r="J4">
        <v>65103</v>
      </c>
      <c r="K4">
        <v>4.43</v>
      </c>
      <c r="L4">
        <v>24.5</v>
      </c>
    </row>
    <row r="5" spans="1:12" x14ac:dyDescent="0.25">
      <c r="A5" t="s">
        <v>104</v>
      </c>
      <c r="B5" t="s">
        <v>105</v>
      </c>
      <c r="C5">
        <v>-42.905669699999997</v>
      </c>
      <c r="D5">
        <v>147.32301570000001</v>
      </c>
      <c r="E5" t="s">
        <v>106</v>
      </c>
      <c r="F5">
        <v>94029</v>
      </c>
      <c r="G5">
        <v>1.81</v>
      </c>
      <c r="H5">
        <v>611.4</v>
      </c>
      <c r="I5" t="s">
        <v>106</v>
      </c>
      <c r="J5">
        <v>94029</v>
      </c>
      <c r="K5">
        <v>1.81</v>
      </c>
      <c r="L5">
        <v>17</v>
      </c>
    </row>
    <row r="6" spans="1:12" x14ac:dyDescent="0.25">
      <c r="A6" t="s">
        <v>107</v>
      </c>
      <c r="B6" t="s">
        <v>108</v>
      </c>
      <c r="C6">
        <v>-27.11486799</v>
      </c>
      <c r="D6">
        <v>151.18176149999999</v>
      </c>
      <c r="E6" t="s">
        <v>109</v>
      </c>
      <c r="F6">
        <v>41240</v>
      </c>
      <c r="G6">
        <v>8.77</v>
      </c>
      <c r="H6">
        <v>621.4</v>
      </c>
      <c r="I6" t="s">
        <v>110</v>
      </c>
      <c r="J6">
        <v>41522</v>
      </c>
      <c r="K6">
        <v>9.48</v>
      </c>
      <c r="L6">
        <v>27</v>
      </c>
    </row>
    <row r="7" spans="1:12" x14ac:dyDescent="0.25">
      <c r="A7" t="s">
        <v>111</v>
      </c>
      <c r="B7" t="s">
        <v>112</v>
      </c>
      <c r="C7">
        <v>-34.85388889</v>
      </c>
      <c r="D7">
        <v>138.62055559999999</v>
      </c>
      <c r="E7" t="s">
        <v>113</v>
      </c>
      <c r="F7">
        <v>23133</v>
      </c>
      <c r="G7">
        <v>2.2200000000000002</v>
      </c>
      <c r="H7">
        <v>468.7</v>
      </c>
      <c r="I7" t="s">
        <v>114</v>
      </c>
      <c r="J7">
        <v>23013</v>
      </c>
      <c r="K7">
        <v>6.25</v>
      </c>
      <c r="L7">
        <v>22.6</v>
      </c>
    </row>
    <row r="8" spans="1:12" x14ac:dyDescent="0.25">
      <c r="A8" t="s">
        <v>115</v>
      </c>
      <c r="B8" t="s">
        <v>108</v>
      </c>
      <c r="C8">
        <v>-19.001300000000001</v>
      </c>
      <c r="D8">
        <v>145.47311669999999</v>
      </c>
      <c r="E8" t="s">
        <v>116</v>
      </c>
      <c r="F8">
        <v>32104</v>
      </c>
      <c r="G8">
        <v>16.190000000000001</v>
      </c>
      <c r="H8">
        <v>642.79999999999995</v>
      </c>
      <c r="I8" t="s">
        <v>117</v>
      </c>
      <c r="J8">
        <v>32078</v>
      </c>
      <c r="K8">
        <v>83.07</v>
      </c>
      <c r="L8">
        <v>29.3</v>
      </c>
    </row>
    <row r="9" spans="1:12" x14ac:dyDescent="0.25">
      <c r="A9" t="s">
        <v>118</v>
      </c>
      <c r="B9" t="s">
        <v>101</v>
      </c>
      <c r="C9">
        <v>-33.68810173</v>
      </c>
      <c r="D9">
        <v>151.0624105</v>
      </c>
      <c r="E9" t="s">
        <v>119</v>
      </c>
      <c r="F9">
        <v>67065</v>
      </c>
      <c r="G9">
        <v>3.42</v>
      </c>
      <c r="H9">
        <v>1156.9000000000001</v>
      </c>
      <c r="I9" t="s">
        <v>120</v>
      </c>
      <c r="J9">
        <v>66124</v>
      </c>
      <c r="K9">
        <v>12.16</v>
      </c>
      <c r="L9">
        <v>23.4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jay_all</vt:lpstr>
      <vt:lpstr>jay_themeda</vt:lpstr>
      <vt:lpstr>vin_seeds</vt:lpstr>
      <vt:lpstr>climate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 Delves</dc:creator>
  <cp:lastModifiedBy>Anoban Karunananthan</cp:lastModifiedBy>
  <cp:lastPrinted>2025-08-31T22:12:02Z</cp:lastPrinted>
  <dcterms:created xsi:type="dcterms:W3CDTF">2025-07-29T00:59:37Z</dcterms:created>
  <dcterms:modified xsi:type="dcterms:W3CDTF">2025-09-02T00:23:37Z</dcterms:modified>
</cp:coreProperties>
</file>